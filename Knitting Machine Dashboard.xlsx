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xr:revisionPtr revIDLastSave="0" documentId="8_{BAE06739-F11A-4274-BF52-FB90B94170D2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Overview" sheetId="5" r:id="rId1"/>
    <sheet name="Running" sheetId="7" r:id="rId2"/>
    <sheet name="Parking" sheetId="6" r:id="rId3"/>
    <sheet name="Advantis" sheetId="9" r:id="rId4"/>
    <sheet name="Services" sheetId="3" r:id="rId5"/>
    <sheet name="Machines" sheetId="1" r:id="rId6"/>
    <sheet name="Advantis Machines" sheetId="8" r:id="rId7"/>
    <sheet name="OUT" sheetId="11" r:id="rId8"/>
    <sheet name="Machine Details" sheetId="4" state="hidden" r:id="rId9"/>
    <sheet name="TypeDiameter" sheetId="2" state="hidden" r:id="rId10"/>
    <sheet name="Legend" sheetId="10" r:id="rId11"/>
  </sheets>
  <definedNames>
    <definedName name="Slicer_Status">#N/A</definedName>
    <definedName name="Slicer_Type">#N/A</definedName>
    <definedName name="Slicer_Type1">#N/A</definedName>
    <definedName name="Slicer_Type2">#N/A</definedName>
    <definedName name="Slicer_Type3">#N/A</definedName>
  </definedNames>
  <calcPr calcId="191028"/>
  <pivotCaches>
    <pivotCache cacheId="544" r:id="rId12"/>
    <pivotCache cacheId="545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E13" i="5"/>
  <c r="O2" i="6"/>
  <c r="I16" i="7"/>
  <c r="I13" i="7"/>
  <c r="E19" i="7"/>
  <c r="E16" i="7"/>
  <c r="E13" i="7"/>
  <c r="F2" i="7"/>
  <c r="C2" i="7"/>
  <c r="I13" i="6"/>
  <c r="E13" i="6"/>
  <c r="E12" i="9"/>
  <c r="I12" i="9"/>
  <c r="I16" i="9"/>
  <c r="E16" i="9"/>
  <c r="G8" i="9"/>
  <c r="I16" i="5"/>
  <c r="I13" i="5"/>
  <c r="E19" i="5"/>
  <c r="E16" i="5"/>
  <c r="G9" i="5"/>
  <c r="L2" i="6"/>
  <c r="L2" i="7"/>
  <c r="L2" i="5"/>
  <c r="O2" i="5"/>
  <c r="O2" i="9"/>
  <c r="I2" i="9"/>
  <c r="F2" i="9"/>
  <c r="C2" i="9"/>
  <c r="C2" i="6"/>
  <c r="I2" i="7"/>
  <c r="I2" i="5"/>
  <c r="F2" i="6"/>
  <c r="G9" i="7"/>
  <c r="O2" i="7"/>
  <c r="E16" i="6"/>
  <c r="G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tc={45183EEA-0D2E-47BA-B5D1-1A67CCB1EA19}</author>
    <author>tc={08C794F1-68CC-404A-B655-924DA2F32DD7}</author>
    <author>tc={B91F4822-0027-452B-A3B8-BE9773B6E6EB}</author>
    <author>tc={85E16176-076B-46F1-B886-6780E70DFC06}</author>
  </authors>
  <commentList>
    <comment ref="B27" authorId="0" shapeId="0" xr:uid="{45183EEA-0D2E-47BA-B5D1-1A67CCB1EA19}">
      <text>
        <t>[Threaded comment]
Your version of Excel allows you to read this threaded comment; however, any edits to it will get removed if the file is opened in a newer version of Excel. Learn more: https://go.microsoft.com/fwlink/?linkid=870924
Comment:
    Inhouse : 2025-10-24</t>
      </text>
    </comment>
    <comment ref="B228" authorId="1" shapeId="0" xr:uid="{08C794F1-68CC-404A-B655-924DA2F32D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Inhouse 2025-10-22</t>
      </text>
    </comment>
    <comment ref="D229" authorId="2" shapeId="0" xr:uid="{B91F4822-0027-452B-A3B8-BE9773B6E6E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machine
Diameter 18 To 21</t>
      </text>
    </comment>
    <comment ref="B240" authorId="3" shapeId="0" xr:uid="{85E16176-076B-46F1-B886-6780E70DFC06}">
      <text>
        <t>[Threaded comment]
Your version of Excel allows you to read this threaded comment; however, any edits to it will get removed if the file is opened in a newer version of Excel. Learn more: https://go.microsoft.com/fwlink/?linkid=870924
Comment:
    Inhouse 2025-10-22</t>
      </text>
    </comment>
  </commentList>
</comments>
</file>

<file path=xl/sharedStrings.xml><?xml version="1.0" encoding="utf-8"?>
<sst xmlns="http://schemas.openxmlformats.org/spreadsheetml/2006/main" count="1752" uniqueCount="560">
  <si>
    <t>Overview</t>
  </si>
  <si>
    <t>Count of Type</t>
  </si>
  <si>
    <t>Type</t>
  </si>
  <si>
    <t>Diameter</t>
  </si>
  <si>
    <t>HIE</t>
  </si>
  <si>
    <t>Grand Total</t>
  </si>
  <si>
    <t>TOTAL</t>
  </si>
  <si>
    <t>TOP2V</t>
  </si>
  <si>
    <t>TOP2</t>
  </si>
  <si>
    <t>TR1S</t>
  </si>
  <si>
    <t>TR</t>
  </si>
  <si>
    <t>RUNNING</t>
  </si>
  <si>
    <t>Status</t>
  </si>
  <si>
    <t>Count of Location Group</t>
  </si>
  <si>
    <t>Active</t>
  </si>
  <si>
    <t>Parking</t>
  </si>
  <si>
    <t>PARKING TOTAL</t>
  </si>
  <si>
    <t>BATCH PARKING</t>
  </si>
  <si>
    <t>TRAINING (M/C)</t>
  </si>
  <si>
    <t>PATHWAY PARKING</t>
  </si>
  <si>
    <t>Location Group</t>
  </si>
  <si>
    <t>Idle</t>
  </si>
  <si>
    <t>Batch Parking</t>
  </si>
  <si>
    <t>Pathway Parking</t>
  </si>
  <si>
    <t>Training (M/C)</t>
  </si>
  <si>
    <t>Idle Total</t>
  </si>
  <si>
    <t>Advantis</t>
  </si>
  <si>
    <t xml:space="preserve">ADVANTIS MOTHBALL </t>
  </si>
  <si>
    <t>TOP</t>
  </si>
  <si>
    <t>EVO4J</t>
  </si>
  <si>
    <t>Current Location</t>
  </si>
  <si>
    <t>Advantis Mothball</t>
  </si>
  <si>
    <t>13 Total</t>
  </si>
  <si>
    <t>14 Total</t>
  </si>
  <si>
    <t>15 Total</t>
  </si>
  <si>
    <t>17 Total</t>
  </si>
  <si>
    <t>Machine No</t>
  </si>
  <si>
    <t>Serial No</t>
  </si>
  <si>
    <t>M/C Year</t>
  </si>
  <si>
    <t>Machine Type</t>
  </si>
  <si>
    <t>Comments</t>
  </si>
  <si>
    <t>DEV (18)</t>
  </si>
  <si>
    <t>Scheduled Service Date- 2024.01.23
Service Date- 2024.02.12
Next Service Date- 2025.02.12
Check List Number - 25</t>
  </si>
  <si>
    <t>Scheduled Service Date- 2024.04.27
Service Date- 2024.05.02
Next Service Date- 2025.05.02
Check List Number -76</t>
  </si>
  <si>
    <t>Scheduled Service Date- 2024.03.19
Service Date- 2024.06.16
Next Service Date- 2025.06.16
Check List Number -114</t>
  </si>
  <si>
    <t>Scheduled Service Date- 2024.02.26
Service Date- 2024.03.31
Next Service Date- 2025.03.31
Check List Number - 56</t>
  </si>
  <si>
    <t>Scheduled Service Date- 2024.04.01
Service Date- 2024.04.08
Next Service Date- 2025.04.08
Check List Number -60</t>
  </si>
  <si>
    <t>Scheduled Service Date- 2024.04.05
Service Date- 2024.04.21
Next Service Date- 2025.04.21
Check List Number -70</t>
  </si>
  <si>
    <t>Scheduled Service Date- 2024.04.03
Service Date- 2024.04.03
Next Service Date- 2025.04.03
Check List Number -58</t>
  </si>
  <si>
    <t>Scheduled Service Date- 2024.05.09
Service Date- 2024.05.12
Next Service Date- 2025.05.12
Check List Number -84</t>
  </si>
  <si>
    <t>Scheduled Service Date- 2024.01.31
Service Date- 2024.02.06
Next Service Date- 2025.02.06
Check List Number - 22</t>
  </si>
  <si>
    <t>Scheduled Service Date- 2024.03.04
Service Date- 2024.03.18
Next Service Date- 2025.03.18
Check List Number - 47</t>
  </si>
  <si>
    <t>Scheduled Service Date- 2024.02.29
Service Date- 2024.03.01
Next Service Date- 2025.03.01
Check List Number - 36</t>
  </si>
  <si>
    <t>Scheduled Service Date- 2024.01.22
Service Date- 2024.01.30
Next Service Date- 2025.01.30
Check List Number - 16</t>
  </si>
  <si>
    <t>Scheduled Service Date- 2024.02.10
Service Date- 2024.02.02
Next Service Date- 2025.02.02
Check List Number - 20</t>
  </si>
  <si>
    <t>Scheduled Service Date- 2024.02.08
Service Date- 2024.02.15
Next Service Date- 2025.02.15
Check List Number - 27</t>
  </si>
  <si>
    <t>Scheduled Service Date- 2024.05.11
Service Date- 2024.05.11
Next Service Date- 2025.05.11
Check List Number -83</t>
  </si>
  <si>
    <t>Scheduled Service Date- 2024.05.06
Service Date- 2024.06.03
Next Service Date- 2025.06.03
Check List Number -170</t>
  </si>
  <si>
    <t>D-21</t>
  </si>
  <si>
    <t>Scheduled Service Date- 2024.04.02
Service Date- 2024.04.02
Next Service Date- 2025.04.02
Check List Number -57</t>
  </si>
  <si>
    <t>Scheduled Service Date- 2024.04.29
Service Date- 2024.04.15
Next Service Date- 2025.04.15
Check List Number -66</t>
  </si>
  <si>
    <t>Scheduled Service Date- 2024.05.02
Service Date- 2024.05.02
Next Service Date- 2025.05.02
Check List Number -77</t>
  </si>
  <si>
    <t>Scheduled Service Date- 2024.04.30
Service Date- 2024.04.15
Next Service Date- 2025.04.15
Check List Number -67</t>
  </si>
  <si>
    <t>Scheduled Service Date- 2024.05.17
Service Date- 2024.05.21
Next Service Date- 2025.05.21
Check List Number - 93</t>
  </si>
  <si>
    <t>Scheduled Service Date- 2024.02.02
Service Date- 2024.01.25
Next Service Date- 2025.01.25
Check List Number - 08</t>
  </si>
  <si>
    <t>Scheduled Service Date- 2024.02.05
Service Date- 2024.02.05
Next Service Date- 2025.02.05
Check List Number - 21</t>
  </si>
  <si>
    <t>Scheduled Service Date- 2024.05.18
Service Date- 2024.05.03
Next Service Date- 2025.05.03
Check List Number -78</t>
  </si>
  <si>
    <t>Scheduled Service Date- 2024.04.06
Service Date- 2024.04.06
Next Service Date- 2025.04.06
Check List Number -59</t>
  </si>
  <si>
    <t>Scheduled Service Date- 2024.01.05
Service Date- 2024.01.27
Next Service Date- 2025.01.27
Check List Number -11</t>
  </si>
  <si>
    <t>Scheduled Service Date- 2024.01.12
Service Date- 2024.01.21
Next Service Date- 2025.01.21
Check List Number - 06</t>
  </si>
  <si>
    <t>Scheduled Service Date- 2024.05.13
Service Date- 2024.03.16
Next Service Date- 2025.03.16
Check List Number -46</t>
  </si>
  <si>
    <t>Scheduled Service Date- 2024.05.14
Service Date- 2024.03.11
Next Service Date- 2025.03.11
Check List Number -44</t>
  </si>
  <si>
    <t>Scheduled Service Date- 2024.01.18
Service Date- 2024.01.29
Next Service Date- 2025.01.29
Check List Number - 15</t>
  </si>
  <si>
    <t>Scheduled Service Date- 2024.05.21
Service Date- 2024.05.21
Next Service Date- 2025.05.21
Check List Number - 94</t>
  </si>
  <si>
    <t>Scheduled Service Date- 2024.04.04
Service Date- 2024.04.08
Next Service Date- 2025.04.08
Check List Number -61</t>
  </si>
  <si>
    <t>Scheduled Service Date- 2024.04.22
Service Date- 2024.04.28
Next Service Date- 2025.04.28
Check List Number -74</t>
  </si>
  <si>
    <t>Scheduled Service Date- 2024.05.20
Service Date- 2024.05.14
Next Service Date- 2025.05.14
Check List Number - 85</t>
  </si>
  <si>
    <t>Scheduled Service Date- 2024.01.04
Service Date- 2024.01.04
Next Service Date- 2025.01.04
Check List Number - 01</t>
  </si>
  <si>
    <t>Scheduled Service Date- 2024.03.25
Service Date- 2024.03.27
Next Service Date- 2025.03.27
Check List Number -52</t>
  </si>
  <si>
    <t>Scheduled Service Date- 2024.05.15
Service Date- 2024.05.18
Next Service Date- 2025.05.18
Check List Number - 88</t>
  </si>
  <si>
    <t>Scheduled Service Date- 2024.04.20
Service Date- 2024.04.11
Next Service Date- 2025.04.11
Check List Number -64</t>
  </si>
  <si>
    <t>Scheduled Service Date- 2024.05.14
Service Date- 2024.05.17
Next Service Date- 2025.05.17
Check List Number - 87</t>
  </si>
  <si>
    <t>Scheduled Service Date- 2024.02.22
Service Date- 2024.03.03
Next Service Date- 2025.03.03
Check List Number - 39</t>
  </si>
  <si>
    <t>Scheduled Service Date- 2024.03.22
Service Date- 2024.04.24
Next Service Date- 2025.04.24
Check List Number -72</t>
  </si>
  <si>
    <t>Scheduled Service Date- 2024.05.03
Service Date- 2024.05.20
Next Service Date- 2025.05.20
Check List Number -91</t>
  </si>
  <si>
    <t>Scheduled Service Date- 2024.05.06
Service Date- 2024.04.18
Next Service Date- 2025.04.18
Check List Number -68</t>
  </si>
  <si>
    <t>Scheduled Service Date- 2024.01.19
Service Date- 2024.01.28
Next Service Date- 2025.01.28
Check List Number - 14</t>
  </si>
  <si>
    <t>Scheduled Service Date- 2024.01.20
Service Date- 2024.02.21
Next Service Date- 2025.02.21
Check List Number - 30</t>
  </si>
  <si>
    <t>Scheduled Service Date- 2024.01.27
Service Date- 2024.01.28
Next Service Date- 2025.01.28
Check List Number - 12</t>
  </si>
  <si>
    <t>Scheduled Service Date- 2024.01.29
Service Date- 2024.01.30
Next Service Date- 2025.01.30
Check List Number - 18</t>
  </si>
  <si>
    <t>Scheduled Service Date- 2024.05.07
Service Date- 2024.03.08
Next Service Date- 2025.03.08
Check List Number -41</t>
  </si>
  <si>
    <t>Scheduled Service Date- 2024.04.16
Service Date- 2024.04.11
Next Service Date- 2025.04.11
Check List Number -63</t>
  </si>
  <si>
    <t>Scheduled Service Date- 2024.05.07
Service Date- 2024.05.20
Next Service Date- 2025.05.20
Check List Number -92</t>
  </si>
  <si>
    <t>21TR02</t>
  </si>
  <si>
    <t>Scheduled Service Date- 2024.03.05
Service Date- 2024.03.05
Next Service Date- 2025.03.05
Check List Number - 40</t>
  </si>
  <si>
    <t>Scheduled Service Date- 2024.02.28
Service Date- 202402.24
Next Service Date- 2025.02.24
Check List Number - 33</t>
  </si>
  <si>
    <t>Scheduled Service Date- 2024.04.23
Service Date- 2024.05.06
Next Service Date- 2025.05.06
Check List Number -108</t>
  </si>
  <si>
    <t>ENG:</t>
  </si>
  <si>
    <t>Scheduled Service Date- 2024.04.25
Service Date- 2024.04.24
Next Service Date- 2025.04.24
Check List Number -71</t>
  </si>
  <si>
    <t>8045967/8015967</t>
  </si>
  <si>
    <t>Scheduled Service Date- 2024.05.11
Service Date- 2024.03.11
Next Service Date- 2025.03.11
Check List Number - 43</t>
  </si>
  <si>
    <t>Scheduled Service Date- 2024.03.20
Service Date- 2024.03.25
Next Service Date- 2025.03.25
Check List Number -50</t>
  </si>
  <si>
    <t>Scheduled Service Date- 2024.05.15
Service Date- 2024.03.15
Next Service Date- 2025.03.15
Check List Number -45</t>
  </si>
  <si>
    <t>Scheduled Service Date- 2024.02.27
Service Date- 2024.02.24
Next Service Date- 2025.02.24
Check List Number - 32</t>
  </si>
  <si>
    <t>Scheduled Service Date- 2024.02.24
Service Date- 2024.02.21
Next Service Date- 2025.002.21
Check List Number - 31</t>
  </si>
  <si>
    <t>Scheduled Service Date- 2024.02.03
Service Date- 2024.01.26
Next Service Date- 2025.01.26
Check List Number - 09</t>
  </si>
  <si>
    <t>Scheduled Service Date- 2024.02.01
Service Date- 2024.02.13
Next Service Date- 2025.02.13
Check List Number - 26</t>
  </si>
  <si>
    <t>Scheduled Service Date- 2024.02.15
Service Date- 2024.04.30
Next Service Date- 2025.04.30
Check List Number - 75</t>
  </si>
  <si>
    <t>Scheduled Service Date- 2024.02.06
Service Date- 2024.02.10
Next Service Date- 2025.02.10
Check List Number - 23</t>
  </si>
  <si>
    <t>Scheduled Service Date- 2024.03.09
Service Date- 2024.03.11
Next Service Date- 2025.03.11
Check List Number - 42</t>
  </si>
  <si>
    <t>Scheduled Service Date- 2024.01.13
Service Date- 2024.01.14
Next Service Date- 2025.01.14
Check List Number - 04</t>
  </si>
  <si>
    <t>Scheduled Service Date- 2024.02.12
Service Date- 2024.02.19
Next Service Date- 2025.02.19
Check List Number - 28</t>
  </si>
  <si>
    <t>Scheduled Service Date- 2024.03.23
Service Date- 2024.03.25
Next Service Date- 2025.03.25
Check List Number -51</t>
  </si>
  <si>
    <t>Scheduled Service Date- 2024.05.13
Service Date- 2024.06.06
Next Service Date- 2025.06.06
Check List Number - 109</t>
  </si>
  <si>
    <t>19TR08</t>
  </si>
  <si>
    <t>Scheduled Service Date- 2024.01.26
Service Date- 2024.01.30
Next Service Date- 2025.01.30
Check List Number - 17</t>
  </si>
  <si>
    <t>14TR07</t>
  </si>
  <si>
    <t>Scheduled Service Date- 2024.03.30
Service Date- 2024.03.27
Next Service Date- 2025.03.27
Check List Number -53</t>
  </si>
  <si>
    <t>16TR18</t>
  </si>
  <si>
    <t>Scheduled Service Date- 2024.03.26
Service Date- 2024.05.27
Next Service Date- 2025.05.27
Check List Number - 100</t>
  </si>
  <si>
    <t>15TR16</t>
  </si>
  <si>
    <t>Scheduled Service Date- 2024.02.07
Service Date- 2024.02.26
Next Service Date- 2025.02.26
Check List Number - 34</t>
  </si>
  <si>
    <t>19TR09</t>
  </si>
  <si>
    <t>Scheduled Service Date- 2024.05.22
Service Date- 2024.05.26
Next Service Date- 2025.05.26
Check List Number - 99</t>
  </si>
  <si>
    <t>19TR11</t>
  </si>
  <si>
    <t>Scheduled Service Date- 2024.03.28
Service Date- 2024.05.15
Next Service Date- 2025.05.15
Check List Number -86</t>
  </si>
  <si>
    <t>Scheduled Service Date- 2024.02.09
Service Date- 2024.03.04
Next Service Date- 2025.03.04
Check List Number - 38</t>
  </si>
  <si>
    <t>Scheduled Service Date- 2024.01.11
Service Date- 2024.01.18
Next Service Date- 2025.01.18
Check List Number - 05</t>
  </si>
  <si>
    <t>15TR17</t>
  </si>
  <si>
    <t>Scheduled Service Date- 2024.05.08
Service Date- New M/C
Next Service Date- 2025.03.08
Check List Number -</t>
  </si>
  <si>
    <t>18TR14</t>
  </si>
  <si>
    <t>Scheduled Service Date- 2024.05.12
Service Date- 2024.06.07
Next Service Date- 2025.06.07
Check List Number -111</t>
  </si>
  <si>
    <t>18TR18</t>
  </si>
  <si>
    <t>Scheduled Service Date- 2024.01.03
Service Date- 2024.01.27
Next Service Date- 2025.01.27
Check List Number - 10</t>
  </si>
  <si>
    <t>Scheduled Service Date- 2024.02.17
Service Date- 2024.05.08
Next Service Date- 2025.05.08
Check List Number - 81</t>
  </si>
  <si>
    <t>18TR12</t>
  </si>
  <si>
    <t>18TR12
Scheduled Service Date- 2024.01.08
Service Date- 2024.01.28
Next Service Date- 2025.01.28
Check List Number - 13</t>
  </si>
  <si>
    <t>Scheduled Service Date- 2024.04.19
Service Date- 2024.04.27
Next Service Date- 2025.04.27
Check List Number -73</t>
  </si>
  <si>
    <t>Scheduled Service Date- 2024.03.21
Service Date- 2024.03.29
Next Service Date- 2025.03.29
Check List Number -54</t>
  </si>
  <si>
    <t>Scheduled Service Date- 2024.02.19
Service Date- 2024.03.30
Next Service Date- 2025.03.30
Check List Number - 55</t>
  </si>
  <si>
    <t>Scheduled Service Date- 2024.05.01
Service Date- 2024.06.01
Next Service Date- 2025.06.01
Check List Number -106</t>
  </si>
  <si>
    <t>Scheduled Service Date- 2024.01.10
Service Date- 2024.01.11
Next Service Date- 2025.01.11
Check List Number - 03</t>
  </si>
  <si>
    <t>Scheduled Service Date- 2024.05.04
Service Date- 2024.05.11
Next Service Date- 2025.05.11
Check List Number -82</t>
  </si>
  <si>
    <t>Scheduled Service Date- 2024.01.16
Service Date- 2024.01.23
Next Service Date- 2025.01.23
Check List Number - 07</t>
  </si>
  <si>
    <t>Scheduled Service Date- 2024.01.30
Service Date- 2024.01.30
Next Service Date- 2025.01.30
Check List Number - 19</t>
  </si>
  <si>
    <t>17TR15</t>
  </si>
  <si>
    <t>Scheduled Service Date- 2024.05.16
Service Date- 2024.03.22
Next Service Date- 2025.03.22
Check List Number -49</t>
  </si>
  <si>
    <t>16TR06</t>
  </si>
  <si>
    <t>Scheduled Service Date- 2024.04.26
Service Date- 2024.04.11
Next Service Date- 2025.04.11
Check List Number -65</t>
  </si>
  <si>
    <t>16TR22</t>
  </si>
  <si>
    <t>Scheduled Service Date- 2024.05.18
Service Date- 2024.05.18
Next Service Date- 2025.05.18
Check List Number - 90</t>
  </si>
  <si>
    <t>Scheduled Service Date- 2024.03.27
Service Date- 2024.05.04
Next Service Date- 2025.05.04
Check List Number -79</t>
  </si>
  <si>
    <t>Scheduled Service Date- 2024.04.17
Service Date- 2024.04.18
Next Service Date- 2025.04.18
Check List Number -69</t>
  </si>
  <si>
    <t>Scheduled Service Date- 2024.02.16
Service Date- 2024.02.19
Next Service Date- 2025.02.19
Check List Number - 29</t>
  </si>
  <si>
    <t>Service Date</t>
  </si>
  <si>
    <t>2025 (F W)</t>
  </si>
  <si>
    <t>2023 (F S)</t>
  </si>
  <si>
    <t>M</t>
  </si>
  <si>
    <t>Mobile Stepper Motor</t>
  </si>
  <si>
    <t>1947 (F S)</t>
  </si>
  <si>
    <t>F</t>
  </si>
  <si>
    <t>Fix Stepper Motor</t>
  </si>
  <si>
    <t>1450 (F S)</t>
  </si>
  <si>
    <t>S</t>
  </si>
  <si>
    <t>Santoni Pattern Drum</t>
  </si>
  <si>
    <t>1693 (F S)</t>
  </si>
  <si>
    <t xml:space="preserve">W </t>
  </si>
  <si>
    <t>Wack Pattern Drum</t>
  </si>
  <si>
    <t>15135 (F W)</t>
  </si>
  <si>
    <t>H</t>
  </si>
  <si>
    <t>Half Moon</t>
  </si>
  <si>
    <t>D-17 (H M S)</t>
  </si>
  <si>
    <t>1822 (F S)</t>
  </si>
  <si>
    <t>1387 (F S)</t>
  </si>
  <si>
    <t>1590 (H F S)</t>
  </si>
  <si>
    <t>1213 (F S)</t>
  </si>
  <si>
    <t>16110 (F S)</t>
  </si>
  <si>
    <t>1799 (M W)</t>
  </si>
  <si>
    <t>1784 (F W)</t>
  </si>
  <si>
    <t>1315 (F S)</t>
  </si>
  <si>
    <t>1778 (M W)</t>
  </si>
  <si>
    <t>17104 (M W)</t>
  </si>
  <si>
    <t>1780 ( F E )</t>
  </si>
  <si>
    <t>1689 (M W)</t>
  </si>
  <si>
    <t>1688 (M W)</t>
  </si>
  <si>
    <t>1788 (M S)</t>
  </si>
  <si>
    <t>17106 (F W)</t>
  </si>
  <si>
    <t>1586 (F W)</t>
  </si>
  <si>
    <t>1964 (M W)</t>
  </si>
  <si>
    <t>17116 (M W)</t>
  </si>
  <si>
    <t>17109 (M W)</t>
  </si>
  <si>
    <t>1394 (F S)</t>
  </si>
  <si>
    <t>1865 (M W)</t>
  </si>
  <si>
    <t>1371 (F W)</t>
  </si>
  <si>
    <t>17110 (M W)</t>
  </si>
  <si>
    <t>17107 (F W)</t>
  </si>
  <si>
    <t>1867 (F W)</t>
  </si>
  <si>
    <t>1893 (F W)</t>
  </si>
  <si>
    <t>1381 (F W)</t>
  </si>
  <si>
    <t>1685 (F W)</t>
  </si>
  <si>
    <t>1472 (F W)</t>
  </si>
  <si>
    <t>2034 (M W)</t>
  </si>
  <si>
    <t>16120 (F W)</t>
  </si>
  <si>
    <t>1491 (F W)</t>
  </si>
  <si>
    <t>1468 (F W)</t>
  </si>
  <si>
    <t>1952 (F W)</t>
  </si>
  <si>
    <t>1966 (M W)</t>
  </si>
  <si>
    <t>1477 (M W)</t>
  </si>
  <si>
    <t>1882 (M W)</t>
  </si>
  <si>
    <t>1485 (M W)</t>
  </si>
  <si>
    <t>1515 (F W)</t>
  </si>
  <si>
    <t>22New (2204) (F W)</t>
  </si>
  <si>
    <t>1883 (M W)</t>
  </si>
  <si>
    <t>2017 (M W)</t>
  </si>
  <si>
    <t>1935 (M W)</t>
  </si>
  <si>
    <t>1682 (F W)</t>
  </si>
  <si>
    <t>1252 (F W)</t>
  </si>
  <si>
    <t>1583 (F W)</t>
  </si>
  <si>
    <t>1113 (F W)</t>
  </si>
  <si>
    <t>1373 (M W)</t>
  </si>
  <si>
    <t>17108 (F W)</t>
  </si>
  <si>
    <t>15123 (M W)</t>
  </si>
  <si>
    <t>1470 (M W)</t>
  </si>
  <si>
    <t>D-21 (F W)</t>
  </si>
  <si>
    <t>1934 (F W)</t>
  </si>
  <si>
    <t>1588 (M W)</t>
  </si>
  <si>
    <t>1683 (M W)</t>
  </si>
  <si>
    <t>16123 (F W)</t>
  </si>
  <si>
    <t>1261 (F W)</t>
  </si>
  <si>
    <t>801870/8018170</t>
  </si>
  <si>
    <t>1377 (M W)</t>
  </si>
  <si>
    <t>17119 (M W)</t>
  </si>
  <si>
    <t>1587 (F W)</t>
  </si>
  <si>
    <t>1863 (M W)</t>
  </si>
  <si>
    <t>15124 (M W)</t>
  </si>
  <si>
    <t>1782 (F W)</t>
  </si>
  <si>
    <t>1864 (M W)</t>
  </si>
  <si>
    <t>1891 (F W)</t>
  </si>
  <si>
    <t>1108 (M W)</t>
  </si>
  <si>
    <t>1374 (M W)</t>
  </si>
  <si>
    <t>1240 (F W)</t>
  </si>
  <si>
    <t>1781 (F W)</t>
  </si>
  <si>
    <t>2018 (M W)</t>
  </si>
  <si>
    <t>1694 (F W)</t>
  </si>
  <si>
    <t>1580 (F W)</t>
  </si>
  <si>
    <t>13107 (M W)</t>
  </si>
  <si>
    <t>1469 (M W)</t>
  </si>
  <si>
    <t>2103 (F W)</t>
  </si>
  <si>
    <t>1897 (F W)</t>
  </si>
  <si>
    <t>1487 (F W)</t>
  </si>
  <si>
    <t>1488 (F W)</t>
  </si>
  <si>
    <t>15118 (F W)</t>
  </si>
  <si>
    <t>15119 (F W)</t>
  </si>
  <si>
    <t>1870 (F W)</t>
  </si>
  <si>
    <t>1937 (F W)</t>
  </si>
  <si>
    <t>1109 (F W)</t>
  </si>
  <si>
    <t>1256 (M W)</t>
  </si>
  <si>
    <t>15120 (F W)</t>
  </si>
  <si>
    <t>15121 (F W)</t>
  </si>
  <si>
    <t>17137 (F W)</t>
  </si>
  <si>
    <t>17136 (F W)</t>
  </si>
  <si>
    <t>16122 (F W)</t>
  </si>
  <si>
    <t>13108 (M W)</t>
  </si>
  <si>
    <t>1869 (F W)</t>
  </si>
  <si>
    <t>1253 (F W)</t>
  </si>
  <si>
    <t>1383 (F W)</t>
  </si>
  <si>
    <t>1696 (F W)</t>
  </si>
  <si>
    <t>1697 (F W)</t>
  </si>
  <si>
    <t>1384 (F W)</t>
  </si>
  <si>
    <t>2030 (F W)</t>
  </si>
  <si>
    <t>16121 (F W)</t>
  </si>
  <si>
    <t>1936 (F W)</t>
  </si>
  <si>
    <t>1375 (M W)</t>
  </si>
  <si>
    <t>2037 (M W)</t>
  </si>
  <si>
    <t>2036 (M W)</t>
  </si>
  <si>
    <t>2035 (M W)</t>
  </si>
  <si>
    <t>1486 (F W)</t>
  </si>
  <si>
    <t>1953 ( M F )</t>
  </si>
  <si>
    <t xml:space="preserve">1941 (F W) </t>
  </si>
  <si>
    <t>1257 (M W)</t>
  </si>
  <si>
    <t>1876 (F W)</t>
  </si>
  <si>
    <t>1395 (F W)</t>
  </si>
  <si>
    <t>1684 (M W)</t>
  </si>
  <si>
    <t>17132 (F W)</t>
  </si>
  <si>
    <t>2039 (M W)</t>
  </si>
  <si>
    <t>17133 (F W)</t>
  </si>
  <si>
    <t>1894 (F W)</t>
  </si>
  <si>
    <t>17130 (F W)</t>
  </si>
  <si>
    <t>16102 (F W)</t>
  </si>
  <si>
    <t>16118 (F W)</t>
  </si>
  <si>
    <t>1954 (F W)</t>
  </si>
  <si>
    <t>16119 (F W)</t>
  </si>
  <si>
    <t>1890 (F W)</t>
  </si>
  <si>
    <t>1895 (F W)</t>
  </si>
  <si>
    <t>1892 (F W)</t>
  </si>
  <si>
    <t>17129 (F W)</t>
  </si>
  <si>
    <t>17134 (F W)</t>
  </si>
  <si>
    <t>17135 (F W)</t>
  </si>
  <si>
    <t>1889 (F W)</t>
  </si>
  <si>
    <t>1686 (M S)</t>
  </si>
  <si>
    <t>21TR02 (M S)</t>
  </si>
  <si>
    <t>1938 (F W)</t>
  </si>
  <si>
    <t>16101 (F W)</t>
  </si>
  <si>
    <t>2114 (F W)</t>
  </si>
  <si>
    <t>1786 (F W)</t>
  </si>
  <si>
    <t>15125 (M S)</t>
  </si>
  <si>
    <t>20-New</t>
  </si>
  <si>
    <t>1495 (F S)</t>
  </si>
  <si>
    <t>17122 (F S)</t>
  </si>
  <si>
    <t>1250 (H M S)</t>
  </si>
  <si>
    <t>17121 (F S)</t>
  </si>
  <si>
    <t>1948 (F S)</t>
  </si>
  <si>
    <t>2027 (F S)</t>
  </si>
  <si>
    <t>1888 (M S)</t>
  </si>
  <si>
    <t>15138 (H M S)</t>
  </si>
  <si>
    <t>16112 (F S)</t>
  </si>
  <si>
    <t>1949 (M S)</t>
  </si>
  <si>
    <t>1249 (H F S)</t>
  </si>
  <si>
    <t>14104 (F S)</t>
  </si>
  <si>
    <t>1886 (F S)</t>
  </si>
  <si>
    <t>1887 (M S)</t>
  </si>
  <si>
    <t>15134 (M S)</t>
  </si>
  <si>
    <t>1248 (F S)</t>
  </si>
  <si>
    <t>1950 (M S)</t>
  </si>
  <si>
    <t>14103 (F S)</t>
  </si>
  <si>
    <t>15140 (F W)</t>
  </si>
  <si>
    <t>1390 (F S)</t>
  </si>
  <si>
    <t>1885 (M W)</t>
  </si>
  <si>
    <t>1335 (H F S)</t>
  </si>
  <si>
    <t xml:space="preserve">16111 (M S) </t>
  </si>
  <si>
    <t>16127 (M S)</t>
  </si>
  <si>
    <t>16115 (F S)</t>
  </si>
  <si>
    <t>17124 (F S)</t>
  </si>
  <si>
    <t>1391 (F S)</t>
  </si>
  <si>
    <t>17123 (F S)</t>
  </si>
  <si>
    <t>1262 (M W)</t>
  </si>
  <si>
    <t>15133 (M S)</t>
  </si>
  <si>
    <t>16126 (F S)</t>
  </si>
  <si>
    <t>1884 (F S)</t>
  </si>
  <si>
    <t>15137 (M W)</t>
  </si>
  <si>
    <t>2106 (F W)</t>
  </si>
  <si>
    <t>1258 (M W)</t>
  </si>
  <si>
    <t>20TR04 (M W)</t>
  </si>
  <si>
    <t>18TR16 (M S)</t>
  </si>
  <si>
    <t>22TR01 (MW)</t>
  </si>
  <si>
    <t>16TR19 (M S)</t>
  </si>
  <si>
    <t>19TR10 (M W)</t>
  </si>
  <si>
    <t>19TR08 (M S)</t>
  </si>
  <si>
    <t>14TR12 (M W)</t>
  </si>
  <si>
    <t>14TR08 (M S)</t>
  </si>
  <si>
    <t>16TR10 (M S)</t>
  </si>
  <si>
    <t>14TR07 (M S)</t>
  </si>
  <si>
    <t>15TR20 (M W)</t>
  </si>
  <si>
    <t>15TR19 (M W)</t>
  </si>
  <si>
    <t>16TR16 (M S)</t>
  </si>
  <si>
    <t>15TR15 (M S)</t>
  </si>
  <si>
    <t>17TR14 (M S)</t>
  </si>
  <si>
    <t>17TR13 (M S)</t>
  </si>
  <si>
    <t>18TR13 (F S)</t>
  </si>
  <si>
    <t>16TR14 (M S)</t>
  </si>
  <si>
    <t>18TR10 (M S)</t>
  </si>
  <si>
    <t>19TR07 (M S)</t>
  </si>
  <si>
    <t>17TR18 (M S)</t>
  </si>
  <si>
    <t>16TR15 (M S)</t>
  </si>
  <si>
    <t>16TR18 (M S)</t>
  </si>
  <si>
    <t>20TR02 (M S)</t>
  </si>
  <si>
    <t>17TR19 (M S)</t>
  </si>
  <si>
    <t>19-New</t>
  </si>
  <si>
    <t>14TR11 (M S)</t>
  </si>
  <si>
    <t>19TR09 (M S)</t>
  </si>
  <si>
    <t>14TR10 (M S)</t>
  </si>
  <si>
    <t>19TR11 (M S)</t>
  </si>
  <si>
    <t>18TR15 (M S)</t>
  </si>
  <si>
    <t>20TR03 (M S)</t>
  </si>
  <si>
    <t>15TR13 (M S)</t>
  </si>
  <si>
    <t>15TR10 (M S)</t>
  </si>
  <si>
    <t>15TR14 (M S)</t>
  </si>
  <si>
    <t>17TR20 (M S)</t>
  </si>
  <si>
    <t>14TR09 (M S)</t>
  </si>
  <si>
    <t>18TR19 (M S)</t>
  </si>
  <si>
    <t>1955 (F W)</t>
  </si>
  <si>
    <t>1489 (M W)</t>
  </si>
  <si>
    <t>1783 (F W)</t>
  </si>
  <si>
    <t>16TR23 (M S)</t>
  </si>
  <si>
    <t>17TR17 (M S)</t>
  </si>
  <si>
    <t>14TR13 (M W)</t>
  </si>
  <si>
    <t>15TR11 (M S)</t>
  </si>
  <si>
    <t>2028 (M W)</t>
  </si>
  <si>
    <t>15New01 (M W)</t>
  </si>
  <si>
    <t>2206 (M W)</t>
  </si>
  <si>
    <t>1493 (F W)</t>
  </si>
  <si>
    <t>1490 (F W)</t>
  </si>
  <si>
    <t>1255 (M W)</t>
  </si>
  <si>
    <t>1342 (M W)</t>
  </si>
  <si>
    <t>2026(18new) (F S)</t>
  </si>
  <si>
    <t>15117 (M W)</t>
  </si>
  <si>
    <t>1896 (F W)</t>
  </si>
  <si>
    <t>1396 (M W)</t>
  </si>
  <si>
    <t>1471 (M W)</t>
  </si>
  <si>
    <t>1474 (M W)</t>
  </si>
  <si>
    <t>17TR16 (M S)</t>
  </si>
  <si>
    <t>1868 (F W)</t>
  </si>
  <si>
    <t>1775 (M W)</t>
  </si>
  <si>
    <t>15TR17 (M W)</t>
  </si>
  <si>
    <t>18TR14 (M S)</t>
  </si>
  <si>
    <t>18TR18 (M S)</t>
  </si>
  <si>
    <t>17TR21 (F S)</t>
  </si>
  <si>
    <t>15136 (F W)</t>
  </si>
  <si>
    <t>18TR20 (M S)</t>
  </si>
  <si>
    <t>21TR03 (M W)</t>
  </si>
  <si>
    <t>1389 (M W)</t>
  </si>
  <si>
    <t>17131 (F W)</t>
  </si>
  <si>
    <t>16D03 (F S)</t>
  </si>
  <si>
    <t>1940 (M W)</t>
  </si>
  <si>
    <t>1467 (F W)</t>
  </si>
  <si>
    <t>1432 (M W)</t>
  </si>
  <si>
    <t>8009468)</t>
  </si>
  <si>
    <t>2007(18New02) (M W)</t>
  </si>
  <si>
    <t>1785 (F S)</t>
  </si>
  <si>
    <t>2038 (M W)</t>
  </si>
  <si>
    <t>1476 (M E)</t>
  </si>
  <si>
    <t>1866 (F W)</t>
  </si>
  <si>
    <t>1965 (M W)</t>
  </si>
  <si>
    <t>15141 (F W)</t>
  </si>
  <si>
    <t>14106 (M W)</t>
  </si>
  <si>
    <t>1376 (M W)</t>
  </si>
  <si>
    <t xml:space="preserve">15139 (M S) </t>
  </si>
  <si>
    <t>1695 (F W)</t>
  </si>
  <si>
    <t>15TR1SNew (M W)</t>
  </si>
  <si>
    <t>2024 (M W)</t>
  </si>
  <si>
    <t>1939 (F W)</t>
  </si>
  <si>
    <t>1473 (F W)</t>
  </si>
  <si>
    <t>17TR15 (M S)</t>
  </si>
  <si>
    <t>1535 (M S)</t>
  </si>
  <si>
    <t>17120 (F W)</t>
  </si>
  <si>
    <t>1874 (M W)</t>
  </si>
  <si>
    <t>1794 (M W)</t>
  </si>
  <si>
    <t>15TR09 (M S)</t>
  </si>
  <si>
    <t>17115 (F W)</t>
  </si>
  <si>
    <t>16116 (F W)</t>
  </si>
  <si>
    <t>17102 (M W)</t>
  </si>
  <si>
    <t>1617 (M W)</t>
  </si>
  <si>
    <t>16TR06 (M S)</t>
  </si>
  <si>
    <t>16TR25 (M S)</t>
  </si>
  <si>
    <t>16TR22 (M S)</t>
  </si>
  <si>
    <t>18TR12 (M S)</t>
  </si>
  <si>
    <t>15TR06 (M S)</t>
  </si>
  <si>
    <t>16TR17 (M S)</t>
  </si>
  <si>
    <t>1385 (F W)</t>
  </si>
  <si>
    <t>M/C Inhouse Date</t>
  </si>
  <si>
    <t>1483 (H M S)</t>
  </si>
  <si>
    <t>1494 (F W)</t>
  </si>
  <si>
    <t>15142 (M W)</t>
  </si>
  <si>
    <t>17111 (M S)</t>
  </si>
  <si>
    <t>Evo(15New02) (M S)</t>
  </si>
  <si>
    <t>17TR22(EVO4J) (F S)</t>
  </si>
  <si>
    <t>TOP1</t>
  </si>
  <si>
    <t>15New02(EVO4J) (M S)</t>
  </si>
  <si>
    <t>1722(EVO4J) (F S)</t>
  </si>
  <si>
    <t>15(40 Gage)</t>
  </si>
  <si>
    <t>Top2V40G</t>
  </si>
  <si>
    <t>LI-01</t>
  </si>
  <si>
    <t>14(40 Gage)</t>
  </si>
  <si>
    <t>Top2v</t>
  </si>
  <si>
    <t>Hie</t>
  </si>
  <si>
    <t>Top2</t>
  </si>
  <si>
    <t>D-17</t>
  </si>
  <si>
    <t>22New</t>
  </si>
  <si>
    <t>21Tr02</t>
  </si>
  <si>
    <t>Tr1s</t>
  </si>
  <si>
    <t>16Tr17</t>
  </si>
  <si>
    <t>Tr</t>
  </si>
  <si>
    <t>20TR04</t>
  </si>
  <si>
    <t>18Tr16</t>
  </si>
  <si>
    <t>16Tr19</t>
  </si>
  <si>
    <t>19TR10</t>
  </si>
  <si>
    <t>19Tr08</t>
  </si>
  <si>
    <t>14TR12</t>
  </si>
  <si>
    <t>14Tr08</t>
  </si>
  <si>
    <t>16Tr10</t>
  </si>
  <si>
    <t>14Tr07</t>
  </si>
  <si>
    <t>15TR20</t>
  </si>
  <si>
    <t>15TR19</t>
  </si>
  <si>
    <t>16Tr16</t>
  </si>
  <si>
    <t>15Tr15</t>
  </si>
  <si>
    <t>17Tr14</t>
  </si>
  <si>
    <t>17Tr13</t>
  </si>
  <si>
    <t>18Tr13</t>
  </si>
  <si>
    <t>16Tr14</t>
  </si>
  <si>
    <t>18Tr10</t>
  </si>
  <si>
    <t>19Tr07</t>
  </si>
  <si>
    <t>17Tr18</t>
  </si>
  <si>
    <t>16Tr15</t>
  </si>
  <si>
    <t>16Tr18</t>
  </si>
  <si>
    <t>20Tr02</t>
  </si>
  <si>
    <t>17Tr19</t>
  </si>
  <si>
    <t>15Tr16</t>
  </si>
  <si>
    <t>14Tr11</t>
  </si>
  <si>
    <t>19Tr09</t>
  </si>
  <si>
    <t>14Tr10</t>
  </si>
  <si>
    <t>19Tr11</t>
  </si>
  <si>
    <t>18Tr15</t>
  </si>
  <si>
    <t>20Tr03</t>
  </si>
  <si>
    <t>15Tr13</t>
  </si>
  <si>
    <t>15Tr10</t>
  </si>
  <si>
    <t>15Tr14</t>
  </si>
  <si>
    <t>17Tr20</t>
  </si>
  <si>
    <t>14Tr09</t>
  </si>
  <si>
    <t>18Tr19</t>
  </si>
  <si>
    <t>16Tr23</t>
  </si>
  <si>
    <t>17Tr15</t>
  </si>
  <si>
    <t>14TR13</t>
  </si>
  <si>
    <t>15Tr11</t>
  </si>
  <si>
    <t>15New01</t>
  </si>
  <si>
    <t>2026(18con)</t>
  </si>
  <si>
    <t>17Tr16</t>
  </si>
  <si>
    <t>15Tr17</t>
  </si>
  <si>
    <t>18Tr14</t>
  </si>
  <si>
    <t>18Tr18</t>
  </si>
  <si>
    <t>17Tr21</t>
  </si>
  <si>
    <t>18Tr20</t>
  </si>
  <si>
    <t>18Tr12</t>
  </si>
  <si>
    <t>16D03</t>
  </si>
  <si>
    <t>2007(18)</t>
  </si>
  <si>
    <t>15Tr09</t>
  </si>
  <si>
    <t>15Tr1sNew</t>
  </si>
  <si>
    <t>17Tr17</t>
  </si>
  <si>
    <t>Top1</t>
  </si>
  <si>
    <t>Top</t>
  </si>
  <si>
    <t>15(40Gage)</t>
  </si>
  <si>
    <t>Top2v40G</t>
  </si>
  <si>
    <t>14(40Gage)</t>
  </si>
  <si>
    <t>Evo(15New02)</t>
  </si>
  <si>
    <t>Evo4J</t>
  </si>
  <si>
    <t>16Tr06</t>
  </si>
  <si>
    <t>16Tr25</t>
  </si>
  <si>
    <t>16Tr22</t>
  </si>
  <si>
    <t>17Tr22(Evo4j)</t>
  </si>
  <si>
    <t>Count</t>
  </si>
  <si>
    <t>Evo4j</t>
  </si>
  <si>
    <t>Top2v 40G</t>
  </si>
  <si>
    <t>M/C Batch Layot</t>
  </si>
  <si>
    <t>Google Blue (#4285F4)</t>
  </si>
  <si>
    <t>Dev (18)</t>
  </si>
  <si>
    <t>lavender purple (#ad7fe6)</t>
  </si>
  <si>
    <t>Celery Stick (#b5c665)</t>
  </si>
  <si>
    <t>Atomic Tangerine (#F59E52)</t>
  </si>
  <si>
    <t>Bright Cyan (#2bb8ca)</t>
  </si>
  <si>
    <t>TOP2V40G</t>
  </si>
  <si>
    <t>Golden Fizz (#eac43b)</t>
  </si>
  <si>
    <t>Mystic Iris (#6666ba)</t>
  </si>
  <si>
    <t>Candy Pink (#e574b1)</t>
  </si>
  <si>
    <t>TR Parking (Bacth Parking)</t>
  </si>
  <si>
    <t xml:space="preserve">Parking (Pathway Parking) </t>
  </si>
  <si>
    <t xml:space="preserve">From Knitting Machine Excel sheet by Janaka </t>
  </si>
  <si>
    <t>Link</t>
  </si>
  <si>
    <t>https://url.uk.m.mimecastprotect.com/s/CLrgCkwl8iOn340zi2fvUGHZcT?domain=docs.google.com</t>
  </si>
  <si>
    <t>Converted Machine</t>
  </si>
  <si>
    <t>Previously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</si>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</sst>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6"/>
      <color theme="1"/>
      <name val="Bodoni MT"/>
    </font>
    <font>
      <sz val="11"/>
      <color theme="0"/>
      <name val="Aptos Narrow"/>
      <family val="2"/>
      <scheme val="minor"/>
    </font>
    <font>
      <sz val="14"/>
      <color theme="0"/>
      <name val="Bodoni MT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Bodoni MT"/>
    </font>
    <font>
      <sz val="11"/>
      <color rgb="FF000000"/>
      <name val="Bodoni MT"/>
    </font>
    <font>
      <sz val="11"/>
      <color theme="0"/>
      <name val="Bodoni MT"/>
    </font>
    <font>
      <sz val="13"/>
      <color theme="0"/>
      <name val="Bodoni MT"/>
    </font>
    <font>
      <sz val="13"/>
      <color theme="1"/>
      <name val="Aptos Narrow"/>
      <family val="2"/>
      <scheme val="minor"/>
    </font>
    <font>
      <sz val="13"/>
      <color theme="1"/>
      <name val="Book Antiqua"/>
    </font>
    <font>
      <sz val="13"/>
      <color theme="0"/>
      <name val="Book Antiqua"/>
    </font>
    <font>
      <sz val="13"/>
      <color theme="0"/>
      <name val="Aptos Narrow"/>
      <family val="2"/>
      <scheme val="minor"/>
    </font>
    <font>
      <sz val="13"/>
      <color rgb="FF000000"/>
      <name val="Book Antiqua"/>
    </font>
    <font>
      <sz val="13"/>
      <color rgb="FFFF0000"/>
      <name val="Aptos Narrow"/>
      <family val="2"/>
      <scheme val="minor"/>
    </font>
    <font>
      <sz val="11"/>
      <color rgb="FFFF0000"/>
      <name val="Bodoni MT"/>
    </font>
    <font>
      <sz val="9.5"/>
      <color theme="1"/>
      <name val="Bodoni MT"/>
    </font>
    <font>
      <sz val="10"/>
      <color theme="1"/>
      <name val="Bodoni MT"/>
    </font>
    <font>
      <sz val="13"/>
      <color rgb="FF595959"/>
      <name val="Book Antiqua"/>
    </font>
  </fonts>
  <fills count="2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AD7FE6"/>
        <bgColor indexed="64"/>
      </patternFill>
    </fill>
    <fill>
      <patternFill patternType="solid">
        <fgColor rgb="FFF59E52"/>
        <bgColor indexed="64"/>
      </patternFill>
    </fill>
    <fill>
      <patternFill patternType="solid">
        <fgColor rgb="FFE574B1"/>
        <bgColor indexed="64"/>
      </patternFill>
    </fill>
    <fill>
      <patternFill patternType="solid">
        <fgColor rgb="FFB5C665"/>
        <bgColor indexed="64"/>
      </patternFill>
    </fill>
    <fill>
      <patternFill patternType="solid">
        <fgColor rgb="FF6666BA"/>
        <bgColor indexed="64"/>
      </patternFill>
    </fill>
    <fill>
      <patternFill patternType="solid">
        <fgColor rgb="FFEAC43B"/>
        <bgColor indexed="64"/>
      </patternFill>
    </fill>
    <fill>
      <patternFill patternType="solid">
        <fgColor rgb="FF2BB8CA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E57373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theme="4" tint="0.39997558519241921"/>
      </right>
      <top style="thin">
        <color rgb="FF999999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rgb="FF999999"/>
      </right>
      <top style="thin">
        <color rgb="FF999999"/>
      </top>
      <bottom style="thin">
        <color theme="4" tint="0.39997558519241921"/>
      </bottom>
      <diagonal/>
    </border>
    <border>
      <left style="thin">
        <color rgb="FF999999"/>
      </left>
      <right style="thin">
        <color theme="4" tint="0.39997558519241921"/>
      </right>
      <top style="thin">
        <color theme="4" tint="0.39997558519241921"/>
      </top>
      <bottom style="thin">
        <color rgb="FF999999"/>
      </bottom>
      <diagonal/>
    </border>
    <border>
      <left style="thin">
        <color theme="4" tint="0.39997558519241921"/>
      </left>
      <right style="thin">
        <color rgb="FF999999"/>
      </right>
      <top style="thin">
        <color theme="4" tint="0.39997558519241921"/>
      </top>
      <bottom style="thin">
        <color rgb="FF999999"/>
      </bottom>
      <diagonal/>
    </border>
    <border>
      <left style="thin">
        <color rgb="FF4285F4"/>
      </left>
      <right/>
      <top style="thin">
        <color rgb="FF4285F4"/>
      </top>
      <bottom/>
      <diagonal/>
    </border>
    <border>
      <left/>
      <right style="thin">
        <color rgb="FF4285F4"/>
      </right>
      <top style="thin">
        <color rgb="FF4285F4"/>
      </top>
      <bottom/>
      <diagonal/>
    </border>
    <border>
      <left style="thin">
        <color rgb="FF4285F4"/>
      </left>
      <right/>
      <top/>
      <bottom style="thin">
        <color rgb="FF4285F4"/>
      </bottom>
      <diagonal/>
    </border>
    <border>
      <left/>
      <right style="thin">
        <color rgb="FF4285F4"/>
      </right>
      <top/>
      <bottom style="thin">
        <color rgb="FF4285F4"/>
      </bottom>
      <diagonal/>
    </border>
    <border>
      <left style="thin">
        <color rgb="FFAD7FE6"/>
      </left>
      <right/>
      <top style="thin">
        <color rgb="FFAD7FE6"/>
      </top>
      <bottom/>
      <diagonal/>
    </border>
    <border>
      <left/>
      <right style="thin">
        <color rgb="FFAD7FE6"/>
      </right>
      <top style="thin">
        <color rgb="FFAD7FE6"/>
      </top>
      <bottom/>
      <diagonal/>
    </border>
    <border>
      <left style="thin">
        <color rgb="FFAD7FE6"/>
      </left>
      <right/>
      <top/>
      <bottom style="thin">
        <color rgb="FFAD7FE6"/>
      </bottom>
      <diagonal/>
    </border>
    <border>
      <left/>
      <right style="thin">
        <color rgb="FFAD7FE6"/>
      </right>
      <top/>
      <bottom style="thin">
        <color rgb="FFAD7FE6"/>
      </bottom>
      <diagonal/>
    </border>
    <border>
      <left style="thin">
        <color rgb="FFF59E52"/>
      </left>
      <right/>
      <top style="thin">
        <color rgb="FFF59E52"/>
      </top>
      <bottom/>
      <diagonal/>
    </border>
    <border>
      <left/>
      <right style="thin">
        <color rgb="FFF59E52"/>
      </right>
      <top style="thin">
        <color rgb="FFF59E52"/>
      </top>
      <bottom/>
      <diagonal/>
    </border>
    <border>
      <left style="thin">
        <color rgb="FFF59E52"/>
      </left>
      <right/>
      <top/>
      <bottom style="thin">
        <color rgb="FFF59E52"/>
      </bottom>
      <diagonal/>
    </border>
    <border>
      <left/>
      <right style="thin">
        <color rgb="FFF59E52"/>
      </right>
      <top/>
      <bottom style="thin">
        <color rgb="FFF59E52"/>
      </bottom>
      <diagonal/>
    </border>
    <border>
      <left style="thin">
        <color rgb="FFE574B1"/>
      </left>
      <right/>
      <top style="thin">
        <color rgb="FFE574B1"/>
      </top>
      <bottom/>
      <diagonal/>
    </border>
    <border>
      <left/>
      <right style="thin">
        <color rgb="FFE574B1"/>
      </right>
      <top style="thin">
        <color rgb="FFE574B1"/>
      </top>
      <bottom/>
      <diagonal/>
    </border>
    <border>
      <left style="thin">
        <color rgb="FFE574B1"/>
      </left>
      <right/>
      <top/>
      <bottom style="thin">
        <color rgb="FFE574B1"/>
      </bottom>
      <diagonal/>
    </border>
    <border>
      <left/>
      <right style="thin">
        <color rgb="FFE574B1"/>
      </right>
      <top/>
      <bottom style="thin">
        <color rgb="FFE574B1"/>
      </bottom>
      <diagonal/>
    </border>
    <border>
      <left style="thin">
        <color rgb="FFB5C665"/>
      </left>
      <right/>
      <top style="thin">
        <color rgb="FFB5C665"/>
      </top>
      <bottom/>
      <diagonal/>
    </border>
    <border>
      <left/>
      <right style="thin">
        <color rgb="FFB5C665"/>
      </right>
      <top style="thin">
        <color rgb="FFB5C665"/>
      </top>
      <bottom/>
      <diagonal/>
    </border>
    <border>
      <left style="thin">
        <color rgb="FFB5C665"/>
      </left>
      <right/>
      <top/>
      <bottom style="thin">
        <color rgb="FFB5C665"/>
      </bottom>
      <diagonal/>
    </border>
    <border>
      <left/>
      <right style="thin">
        <color rgb="FFB5C665"/>
      </right>
      <top/>
      <bottom style="thin">
        <color rgb="FFB5C665"/>
      </bottom>
      <diagonal/>
    </border>
    <border>
      <left style="thin">
        <color rgb="FF6666BA"/>
      </left>
      <right/>
      <top style="thin">
        <color rgb="FF6666BA"/>
      </top>
      <bottom/>
      <diagonal/>
    </border>
    <border>
      <left/>
      <right style="thin">
        <color rgb="FF6666BA"/>
      </right>
      <top style="thin">
        <color rgb="FF6666BA"/>
      </top>
      <bottom/>
      <diagonal/>
    </border>
    <border>
      <left style="thin">
        <color rgb="FF6666BA"/>
      </left>
      <right/>
      <top/>
      <bottom style="thin">
        <color rgb="FF6666BA"/>
      </bottom>
      <diagonal/>
    </border>
    <border>
      <left/>
      <right style="thin">
        <color rgb="FF6666BA"/>
      </right>
      <top/>
      <bottom style="thin">
        <color rgb="FF6666BA"/>
      </bottom>
      <diagonal/>
    </border>
    <border>
      <left style="thin">
        <color rgb="FF2BB8CA"/>
      </left>
      <right/>
      <top style="thin">
        <color rgb="FF2BB8CA"/>
      </top>
      <bottom/>
      <diagonal/>
    </border>
    <border>
      <left/>
      <right style="thin">
        <color rgb="FF2BB8CA"/>
      </right>
      <top style="thin">
        <color rgb="FF2BB8CA"/>
      </top>
      <bottom/>
      <diagonal/>
    </border>
    <border>
      <left style="thin">
        <color rgb="FF2BB8CA"/>
      </left>
      <right/>
      <top/>
      <bottom style="thin">
        <color rgb="FF2BB8CA"/>
      </bottom>
      <diagonal/>
    </border>
    <border>
      <left/>
      <right style="thin">
        <color rgb="FF2BB8CA"/>
      </right>
      <top/>
      <bottom style="thin">
        <color rgb="FF2BB8CA"/>
      </bottom>
      <diagonal/>
    </border>
    <border>
      <left style="thin">
        <color rgb="FFF4C7C3"/>
      </left>
      <right/>
      <top style="thin">
        <color rgb="FFF4C7C3"/>
      </top>
      <bottom/>
      <diagonal/>
    </border>
    <border>
      <left/>
      <right/>
      <top style="thin">
        <color rgb="FFF4C7C3"/>
      </top>
      <bottom/>
      <diagonal/>
    </border>
    <border>
      <left style="thin">
        <color rgb="FFF4C7C3"/>
      </left>
      <right/>
      <top/>
      <bottom style="thin">
        <color rgb="FFF4C7C3"/>
      </bottom>
      <diagonal/>
    </border>
    <border>
      <left/>
      <right/>
      <top/>
      <bottom style="thin">
        <color rgb="FFF4C7C3"/>
      </bottom>
      <diagonal/>
    </border>
    <border>
      <left style="thin">
        <color rgb="FFE57373"/>
      </left>
      <right/>
      <top style="thin">
        <color rgb="FFE57373"/>
      </top>
      <bottom/>
      <diagonal/>
    </border>
    <border>
      <left/>
      <right/>
      <top style="thin">
        <color rgb="FFE57373"/>
      </top>
      <bottom/>
      <diagonal/>
    </border>
    <border>
      <left style="thin">
        <color rgb="FFE57373"/>
      </left>
      <right/>
      <top/>
      <bottom style="thin">
        <color rgb="FFE57373"/>
      </bottom>
      <diagonal/>
    </border>
    <border>
      <left/>
      <right/>
      <top/>
      <bottom style="thin">
        <color rgb="FFE57373"/>
      </bottom>
      <diagonal/>
    </border>
    <border>
      <left style="thin">
        <color rgb="FFF44336"/>
      </left>
      <right/>
      <top style="thin">
        <color rgb="FFF44336"/>
      </top>
      <bottom/>
      <diagonal/>
    </border>
    <border>
      <left/>
      <right/>
      <top style="thin">
        <color rgb="FFF44336"/>
      </top>
      <bottom/>
      <diagonal/>
    </border>
    <border>
      <left style="thin">
        <color rgb="FFF44336"/>
      </left>
      <right/>
      <top/>
      <bottom style="thin">
        <color rgb="FFF44336"/>
      </bottom>
      <diagonal/>
    </border>
    <border>
      <left/>
      <right/>
      <top/>
      <bottom style="thin">
        <color rgb="FFF44336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/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3" fillId="0" borderId="1" xfId="0" applyFont="1" applyBorder="1"/>
    <xf numFmtId="0" fontId="0" fillId="0" borderId="8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6" borderId="0" xfId="0" applyFill="1"/>
    <xf numFmtId="0" fontId="6" fillId="5" borderId="0" xfId="0" applyFont="1" applyFill="1"/>
    <xf numFmtId="0" fontId="0" fillId="4" borderId="0" xfId="0" applyFill="1" applyAlignment="1">
      <alignment horizontal="center"/>
    </xf>
    <xf numFmtId="0" fontId="0" fillId="0" borderId="14" xfId="0" applyBorder="1"/>
    <xf numFmtId="0" fontId="0" fillId="7" borderId="0" xfId="0" applyFill="1"/>
    <xf numFmtId="0" fontId="0" fillId="0" borderId="0" xfId="0" applyAlignment="1">
      <alignment horizontal="left"/>
    </xf>
    <xf numFmtId="0" fontId="4" fillId="0" borderId="0" xfId="1"/>
    <xf numFmtId="0" fontId="9" fillId="9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9" fillId="9" borderId="16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0" xfId="0" applyFont="1"/>
    <xf numFmtId="0" fontId="0" fillId="0" borderId="17" xfId="0" applyBorder="1" applyAlignment="1">
      <alignment horizontal="left"/>
    </xf>
    <xf numFmtId="0" fontId="0" fillId="13" borderId="17" xfId="0" applyFill="1" applyBorder="1"/>
    <xf numFmtId="0" fontId="0" fillId="20" borderId="17" xfId="0" applyFill="1" applyBorder="1"/>
    <xf numFmtId="0" fontId="0" fillId="14" borderId="17" xfId="0" applyFill="1" applyBorder="1"/>
    <xf numFmtId="0" fontId="0" fillId="17" borderId="17" xfId="0" applyFill="1" applyBorder="1"/>
    <xf numFmtId="0" fontId="10" fillId="15" borderId="17" xfId="0" applyFont="1" applyFill="1" applyBorder="1"/>
    <xf numFmtId="0" fontId="0" fillId="19" borderId="17" xfId="0" applyFill="1" applyBorder="1"/>
    <xf numFmtId="0" fontId="0" fillId="18" borderId="17" xfId="0" applyFill="1" applyBorder="1"/>
    <xf numFmtId="0" fontId="0" fillId="16" borderId="17" xfId="0" applyFill="1" applyBorder="1"/>
    <xf numFmtId="14" fontId="0" fillId="0" borderId="0" xfId="0" applyNumberFormat="1" applyAlignment="1">
      <alignment horizontal="left"/>
    </xf>
    <xf numFmtId="0" fontId="7" fillId="6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5" fillId="5" borderId="0" xfId="0" applyFont="1" applyFill="1"/>
    <xf numFmtId="0" fontId="15" fillId="4" borderId="0" xfId="0" applyFont="1" applyFill="1"/>
    <xf numFmtId="0" fontId="15" fillId="7" borderId="0" xfId="0" applyFont="1" applyFill="1"/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5" xfId="0" applyBorder="1" applyAlignment="1">
      <alignment horizontal="right"/>
    </xf>
    <xf numFmtId="0" fontId="11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0" fillId="4" borderId="0" xfId="0" applyFont="1" applyFill="1"/>
    <xf numFmtId="0" fontId="20" fillId="4" borderId="0" xfId="0" applyFont="1" applyFill="1"/>
    <xf numFmtId="0" fontId="21" fillId="4" borderId="0" xfId="0" applyFont="1" applyFill="1" applyAlignment="1">
      <alignment vertical="center"/>
    </xf>
    <xf numFmtId="0" fontId="18" fillId="5" borderId="0" xfId="0" applyFont="1" applyFill="1"/>
    <xf numFmtId="0" fontId="12" fillId="5" borderId="0" xfId="0" applyFont="1" applyFill="1" applyAlignment="1">
      <alignment vertical="center"/>
    </xf>
    <xf numFmtId="0" fontId="0" fillId="0" borderId="69" xfId="0" applyBorder="1" applyAlignment="1">
      <alignment horizontal="left"/>
    </xf>
    <xf numFmtId="0" fontId="1" fillId="8" borderId="70" xfId="0" applyFont="1" applyFill="1" applyBorder="1" applyAlignment="1">
      <alignment horizontal="center"/>
    </xf>
    <xf numFmtId="0" fontId="0" fillId="0" borderId="71" xfId="0" applyBorder="1" applyAlignment="1">
      <alignment horizontal="left"/>
    </xf>
    <xf numFmtId="0" fontId="1" fillId="24" borderId="72" xfId="0" applyFont="1" applyFill="1" applyBorder="1" applyAlignment="1">
      <alignment horizontal="center"/>
    </xf>
    <xf numFmtId="0" fontId="0" fillId="0" borderId="73" xfId="0" applyBorder="1" applyAlignment="1">
      <alignment horizontal="left"/>
    </xf>
    <xf numFmtId="0" fontId="0" fillId="0" borderId="73" xfId="0" applyBorder="1"/>
    <xf numFmtId="0" fontId="0" fillId="0" borderId="74" xfId="0" applyBorder="1" applyAlignment="1">
      <alignment horizontal="left"/>
    </xf>
    <xf numFmtId="0" fontId="1" fillId="8" borderId="75" xfId="0" applyFont="1" applyFill="1" applyBorder="1" applyAlignment="1">
      <alignment horizontal="center"/>
    </xf>
    <xf numFmtId="0" fontId="0" fillId="0" borderId="76" xfId="0" applyBorder="1" applyAlignment="1">
      <alignment horizontal="left"/>
    </xf>
    <xf numFmtId="0" fontId="0" fillId="0" borderId="76" xfId="0" applyBorder="1"/>
    <xf numFmtId="0" fontId="0" fillId="0" borderId="77" xfId="0" applyBorder="1" applyAlignment="1">
      <alignment horizontal="left"/>
    </xf>
    <xf numFmtId="14" fontId="0" fillId="0" borderId="69" xfId="0" applyNumberFormat="1" applyBorder="1" applyAlignment="1">
      <alignment horizontal="left"/>
    </xf>
    <xf numFmtId="14" fontId="1" fillId="8" borderId="70" xfId="0" applyNumberFormat="1" applyFont="1" applyFill="1" applyBorder="1" applyAlignment="1">
      <alignment horizontal="center"/>
    </xf>
    <xf numFmtId="14" fontId="0" fillId="0" borderId="71" xfId="0" applyNumberFormat="1" applyBorder="1" applyAlignment="1">
      <alignment horizontal="left"/>
    </xf>
    <xf numFmtId="0" fontId="1" fillId="2" borderId="70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/>
    </xf>
    <xf numFmtId="0" fontId="0" fillId="0" borderId="77" xfId="0" applyBorder="1"/>
    <xf numFmtId="164" fontId="1" fillId="2" borderId="70" xfId="0" applyNumberFormat="1" applyFont="1" applyFill="1" applyBorder="1" applyAlignment="1">
      <alignment horizontal="center"/>
    </xf>
    <xf numFmtId="164" fontId="0" fillId="0" borderId="70" xfId="0" applyNumberFormat="1" applyBorder="1" applyAlignment="1">
      <alignment horizontal="left"/>
    </xf>
    <xf numFmtId="164" fontId="0" fillId="0" borderId="69" xfId="0" applyNumberFormat="1" applyBorder="1" applyAlignment="1">
      <alignment horizontal="left"/>
    </xf>
    <xf numFmtId="164" fontId="0" fillId="0" borderId="71" xfId="0" applyNumberFormat="1" applyBorder="1" applyAlignment="1">
      <alignment horizontal="left"/>
    </xf>
    <xf numFmtId="164" fontId="0" fillId="0" borderId="0" xfId="0" applyNumberFormat="1"/>
    <xf numFmtId="164" fontId="0" fillId="26" borderId="69" xfId="0" applyNumberFormat="1" applyFill="1" applyBorder="1" applyAlignment="1">
      <alignment horizontal="left"/>
    </xf>
    <xf numFmtId="164" fontId="0" fillId="9" borderId="69" xfId="0" applyNumberFormat="1" applyFill="1" applyBorder="1" applyAlignment="1">
      <alignment horizontal="left"/>
    </xf>
    <xf numFmtId="164" fontId="10" fillId="9" borderId="69" xfId="0" applyNumberFormat="1" applyFont="1" applyFill="1" applyBorder="1" applyAlignment="1">
      <alignment horizontal="left"/>
    </xf>
    <xf numFmtId="0" fontId="14" fillId="12" borderId="0" xfId="0" applyFont="1" applyFill="1" applyAlignment="1">
      <alignment horizontal="center" vertical="center"/>
    </xf>
    <xf numFmtId="0" fontId="11" fillId="5" borderId="46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center" vertical="center"/>
    </xf>
    <xf numFmtId="0" fontId="11" fillId="5" borderId="48" xfId="0" applyFont="1" applyFill="1" applyBorder="1" applyAlignment="1">
      <alignment horizontal="center" vertical="center"/>
    </xf>
    <xf numFmtId="0" fontId="11" fillId="5" borderId="49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5" borderId="38" xfId="0" applyFont="1" applyFill="1" applyBorder="1" applyAlignment="1">
      <alignment horizontal="center" vertical="center"/>
    </xf>
    <xf numFmtId="0" fontId="11" fillId="5" borderId="39" xfId="0" applyFont="1" applyFill="1" applyBorder="1" applyAlignment="1">
      <alignment horizontal="center" vertical="center"/>
    </xf>
    <xf numFmtId="0" fontId="11" fillId="5" borderId="40" xfId="0" applyFont="1" applyFill="1" applyBorder="1" applyAlignment="1">
      <alignment horizontal="center" vertical="center"/>
    </xf>
    <xf numFmtId="0" fontId="11" fillId="5" borderId="41" xfId="0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/>
    </xf>
    <xf numFmtId="0" fontId="14" fillId="20" borderId="0" xfId="0" applyFont="1" applyFill="1" applyAlignment="1">
      <alignment horizontal="center" vertical="center"/>
    </xf>
    <xf numFmtId="0" fontId="17" fillId="4" borderId="10" xfId="1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4" fillId="4" borderId="0" xfId="1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4" borderId="12" xfId="1" applyFont="1" applyFill="1" applyBorder="1" applyAlignment="1">
      <alignment horizontal="center" vertical="center"/>
    </xf>
    <xf numFmtId="0" fontId="17" fillId="4" borderId="11" xfId="1" applyFont="1" applyFill="1" applyBorder="1" applyAlignment="1">
      <alignment horizontal="center" vertical="center"/>
    </xf>
    <xf numFmtId="0" fontId="17" fillId="4" borderId="13" xfId="1" applyFont="1" applyFill="1" applyBorder="1" applyAlignment="1">
      <alignment horizontal="center" vertical="center"/>
    </xf>
    <xf numFmtId="0" fontId="17" fillId="7" borderId="10" xfId="1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16" fillId="5" borderId="0" xfId="1" applyFont="1" applyFill="1" applyBorder="1" applyAlignment="1">
      <alignment horizontal="center" vertical="center"/>
    </xf>
    <xf numFmtId="0" fontId="11" fillId="5" borderId="62" xfId="0" applyFont="1" applyFill="1" applyBorder="1" applyAlignment="1">
      <alignment horizontal="center" vertical="center"/>
    </xf>
    <xf numFmtId="0" fontId="11" fillId="5" borderId="65" xfId="0" applyFont="1" applyFill="1" applyBorder="1" applyAlignment="1">
      <alignment horizontal="center" vertical="center"/>
    </xf>
    <xf numFmtId="0" fontId="11" fillId="5" borderId="63" xfId="0" applyFont="1" applyFill="1" applyBorder="1" applyAlignment="1">
      <alignment horizontal="center" vertical="center"/>
    </xf>
    <xf numFmtId="0" fontId="11" fillId="5" borderId="66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2" fillId="5" borderId="62" xfId="0" applyFont="1" applyFill="1" applyBorder="1" applyAlignment="1">
      <alignment horizontal="center" vertical="center"/>
    </xf>
    <xf numFmtId="0" fontId="12" fillId="5" borderId="65" xfId="0" applyFont="1" applyFill="1" applyBorder="1" applyAlignment="1">
      <alignment horizontal="center" vertical="center"/>
    </xf>
    <xf numFmtId="0" fontId="12" fillId="5" borderId="63" xfId="0" applyFont="1" applyFill="1" applyBorder="1" applyAlignment="1">
      <alignment horizontal="center" vertical="center"/>
    </xf>
    <xf numFmtId="0" fontId="12" fillId="5" borderId="66" xfId="0" applyFont="1" applyFill="1" applyBorder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14" fillId="21" borderId="0" xfId="0" applyFont="1" applyFill="1" applyAlignment="1">
      <alignment horizontal="center" vertical="center"/>
    </xf>
    <xf numFmtId="0" fontId="22" fillId="5" borderId="54" xfId="0" applyFont="1" applyFill="1" applyBorder="1" applyAlignment="1">
      <alignment horizontal="center" vertical="center"/>
    </xf>
    <xf numFmtId="0" fontId="22" fillId="5" borderId="55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2" fillId="5" borderId="57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1" fillId="5" borderId="50" xfId="0" applyFont="1" applyFill="1" applyBorder="1" applyAlignment="1">
      <alignment horizontal="center" vertical="center"/>
    </xf>
    <xf numFmtId="0" fontId="11" fillId="5" borderId="51" xfId="0" applyFont="1" applyFill="1" applyBorder="1" applyAlignment="1">
      <alignment horizontal="center" vertical="center"/>
    </xf>
    <xf numFmtId="0" fontId="11" fillId="5" borderId="52" xfId="0" applyFont="1" applyFill="1" applyBorder="1" applyAlignment="1">
      <alignment horizontal="center" vertical="center"/>
    </xf>
    <xf numFmtId="0" fontId="11" fillId="5" borderId="53" xfId="0" applyFont="1" applyFill="1" applyBorder="1" applyAlignment="1">
      <alignment horizontal="center" vertical="center"/>
    </xf>
    <xf numFmtId="0" fontId="12" fillId="5" borderId="58" xfId="0" applyFont="1" applyFill="1" applyBorder="1" applyAlignment="1">
      <alignment horizontal="center" vertical="center"/>
    </xf>
    <xf numFmtId="0" fontId="12" fillId="5" borderId="59" xfId="0" applyFont="1" applyFill="1" applyBorder="1" applyAlignment="1">
      <alignment horizontal="center" vertical="center"/>
    </xf>
    <xf numFmtId="0" fontId="12" fillId="5" borderId="60" xfId="0" applyFont="1" applyFill="1" applyBorder="1" applyAlignment="1">
      <alignment horizontal="center" vertical="center"/>
    </xf>
    <xf numFmtId="0" fontId="12" fillId="5" borderId="61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11" fillId="6" borderId="43" xfId="0" applyFont="1" applyFill="1" applyBorder="1" applyAlignment="1">
      <alignment horizontal="center" vertical="center"/>
    </xf>
    <xf numFmtId="0" fontId="11" fillId="6" borderId="44" xfId="0" applyFont="1" applyFill="1" applyBorder="1" applyAlignment="1">
      <alignment horizontal="center" vertical="center"/>
    </xf>
    <xf numFmtId="0" fontId="11" fillId="6" borderId="45" xfId="0" applyFont="1" applyFill="1" applyBorder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0" fontId="11" fillId="5" borderId="35" xfId="0" applyFont="1" applyFill="1" applyBorder="1" applyAlignment="1">
      <alignment horizontal="center" vertical="center"/>
    </xf>
    <xf numFmtId="0" fontId="11" fillId="5" borderId="36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12" borderId="64" xfId="0" applyFont="1" applyFill="1" applyBorder="1" applyAlignment="1">
      <alignment horizontal="center" vertical="center"/>
    </xf>
    <xf numFmtId="0" fontId="23" fillId="6" borderId="62" xfId="0" applyFont="1" applyFill="1" applyBorder="1" applyAlignment="1">
      <alignment horizontal="center" vertical="center" wrapText="1"/>
    </xf>
    <xf numFmtId="0" fontId="23" fillId="6" borderId="65" xfId="0" applyFont="1" applyFill="1" applyBorder="1" applyAlignment="1">
      <alignment horizontal="center" vertical="center" wrapText="1"/>
    </xf>
    <xf numFmtId="0" fontId="23" fillId="6" borderId="63" xfId="0" applyFont="1" applyFill="1" applyBorder="1" applyAlignment="1">
      <alignment horizontal="center" vertical="center" wrapText="1"/>
    </xf>
    <xf numFmtId="0" fontId="23" fillId="6" borderId="66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/>
    </xf>
    <xf numFmtId="0" fontId="0" fillId="11" borderId="67" xfId="0" applyFill="1" applyBorder="1" applyAlignment="1">
      <alignment horizontal="center"/>
    </xf>
    <xf numFmtId="0" fontId="0" fillId="11" borderId="68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0" borderId="0" xfId="0" applyFont="1" applyFill="1" applyAlignment="1">
      <alignment horizontal="center"/>
    </xf>
    <xf numFmtId="0" fontId="0" fillId="2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53">
    <dxf>
      <border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top style="thin">
          <color theme="0" tint="-0.14999847407452621"/>
        </top>
      </border>
    </dxf>
    <dxf>
      <border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/>
        <color theme="0"/>
      </font>
      <fill>
        <patternFill patternType="solid">
          <fgColor indexed="64"/>
          <bgColor rgb="FF0070C0"/>
        </patternFill>
      </fill>
      <alignment horizontal="center"/>
      <border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/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top style="thin">
          <color theme="7" tint="0.79998168889431442"/>
        </top>
      </border>
    </dxf>
    <dxf>
      <border>
        <bottom style="thin">
          <color theme="7" tint="0.79998168889431442"/>
        </bottom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>
        <left style="thin">
          <color theme="7" tint="0.79998168889431442"/>
        </left>
        <right/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numFmt numFmtId="19" formatCode="m/d/yyyy"/>
      <alignment horizontal="left" vertical="bottom" textRotation="0" wrapText="0" indent="0" justifyLastLine="0" shrinkToFit="0" readingOrder="0"/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top style="thin">
          <color theme="7" tint="0.79998168889431442"/>
        </top>
      </border>
    </dxf>
    <dxf>
      <border>
        <bottom style="thin">
          <color theme="7" tint="0.79998168889431442"/>
        </bottom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 style="thin">
          <color theme="7" tint="0.79998168889431442"/>
        </horizontal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 diagonalUp="0" diagonalDown="0">
        <left style="thin">
          <color theme="7" tint="0.79998168889431442"/>
        </left>
        <right/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top style="thin">
          <color theme="7" tint="0.79998168889431442"/>
        </top>
      </border>
    </dxf>
    <dxf>
      <border>
        <bottom style="thin">
          <color theme="7" tint="0.79998168889431442"/>
        </bottom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 style="thin">
          <color theme="7" tint="0.79998168889431442"/>
        </horizontal>
      </border>
    </dxf>
    <dxf>
      <fill>
        <patternFill patternType="none">
          <fgColor indexed="64"/>
          <bgColor rgb="FFF2F0F5"/>
        </patternFill>
      </fill>
      <alignment horizontal="left" vertical="top" textRotation="0" wrapText="1" indent="0" justifyLastLine="0" shrinkToFit="0" readingOrder="0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ill>
        <patternFill patternType="none">
          <fgColor indexed="64"/>
          <bgColor rgb="FFF2F0F5"/>
        </patternFill>
      </fill>
      <alignment horizontal="left" vertical="top" textRotation="0" wrapText="0" indent="0" justifyLastLine="0" shrinkToFit="0" readingOrder="0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ill>
        <patternFill patternType="none">
          <fgColor indexed="64"/>
          <bgColor rgb="FFF2F0F5"/>
        </patternFill>
      </fill>
      <alignment horizontal="left" vertical="top" textRotation="0" wrapText="0" indent="0" justifyLastLine="0" shrinkToFit="0" readingOrder="0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ill>
        <patternFill patternType="none">
          <fgColor indexed="64"/>
          <bgColor rgb="FFF2F0F5"/>
        </patternFill>
      </fill>
      <alignment horizontal="left" vertical="top" textRotation="0" wrapText="0" indent="0" justifyLastLine="0" shrinkToFit="0" readingOrder="0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top style="thin">
          <color theme="0" tint="-0.14999847407452621"/>
        </top>
      </border>
    </dxf>
    <dxf>
      <border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none"/>
      </fill>
      <alignment horizontal="left" vertical="top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</dxfs>
  <tableStyles count="0" defaultTableStyle="TableStyleMedium2" defaultPivotStyle="PivotStyleMedium9"/>
  <colors>
    <mruColors>
      <color rgb="FF595959"/>
      <color rgb="FF2BB8CA"/>
      <color rgb="FF4285F4"/>
      <color rgb="FFB5C665"/>
      <color rgb="FFAD7FE6"/>
      <color rgb="FFF59E52"/>
      <color rgb="FFF4C7C3"/>
      <color rgb="FFFF9F96"/>
      <color rgb="FFF22718"/>
      <color rgb="FF6666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5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4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[Knitting Machine Dashboard.xlsx]Overview!PivotTable2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Machines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D7F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5C66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285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59E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BB8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Overview!$AB$5:$AB$6</c:f>
              <c:strCache>
                <c:ptCount val="1"/>
                <c:pt idx="0">
                  <c:v>HIE</c:v>
                </c:pt>
              </c:strCache>
            </c:strRef>
          </c:tx>
          <c:spPr>
            <a:solidFill>
              <a:srgbClr val="AD7F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Overview!$AA$7:$AA$16</c:f>
              <c:strCach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strCache>
            </c:strRef>
          </c:cat>
          <c:val>
            <c:numRef>
              <c:f>Overview!$AB$7:$AB$16</c:f>
              <c:numCache>
                <c:formatCode>General</c:formatCode>
                <c:ptCount val="9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F-4056-A75A-88AB0B384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5994119"/>
        <c:axId val="1475996167"/>
      </c:barChart>
      <c:catAx>
        <c:axId val="1475994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996167"/>
        <c:crosses val="autoZero"/>
        <c:auto val="1"/>
        <c:lblAlgn val="ctr"/>
        <c:lblOffset val="100"/>
        <c:noMultiLvlLbl val="0"/>
      </c:catAx>
      <c:valAx>
        <c:axId val="1475996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99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[Knitting Machine Dashboard.xlsx]Running!PivotTable3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 Machines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BB8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D7FE6"/>
          </a:solidFill>
          <a:ln>
            <a:noFill/>
          </a:ln>
          <a:effectLst/>
        </c:spPr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  <c:pivotFmt>
        <c:idx val="3"/>
        <c:spPr>
          <a:solidFill>
            <a:srgbClr val="4285F4"/>
          </a:solidFill>
          <a:ln>
            <a:noFill/>
          </a:ln>
          <a:effectLst/>
        </c:spPr>
      </c:pivotFmt>
      <c:pivotFmt>
        <c:idx val="4"/>
        <c:spPr>
          <a:solidFill>
            <a:srgbClr val="F59E5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Running!$U$38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BB8C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D7F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21-48DF-AC9F-AC8D5F65F8F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A21-48DF-AC9F-AC8D5F65F8F2}"/>
              </c:ext>
            </c:extLst>
          </c:dPt>
          <c:dPt>
            <c:idx val="2"/>
            <c:invertIfNegative val="0"/>
            <c:bubble3D val="0"/>
            <c:spPr>
              <a:solidFill>
                <a:srgbClr val="4285F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A21-48DF-AC9F-AC8D5F65F8F2}"/>
              </c:ext>
            </c:extLst>
          </c:dPt>
          <c:dPt>
            <c:idx val="3"/>
            <c:invertIfNegative val="0"/>
            <c:bubble3D val="0"/>
            <c:spPr>
              <a:solidFill>
                <a:srgbClr val="F59E5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A21-48DF-AC9F-AC8D5F65F8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Running!$S$39:$T$44</c:f>
              <c:multiLvlStrCache>
                <c:ptCount val="5"/>
                <c:lvl>
                  <c:pt idx="0">
                    <c:v>HIE</c:v>
                  </c:pt>
                  <c:pt idx="1">
                    <c:v>TOP2</c:v>
                  </c:pt>
                  <c:pt idx="2">
                    <c:v>TOP2V</c:v>
                  </c:pt>
                  <c:pt idx="3">
                    <c:v>TR</c:v>
                  </c:pt>
                  <c:pt idx="4">
                    <c:v>TR1S</c:v>
                  </c:pt>
                </c:lvl>
                <c:lvl>
                  <c:pt idx="0">
                    <c:v>Active</c:v>
                  </c:pt>
                </c:lvl>
              </c:multiLvlStrCache>
            </c:multiLvlStrRef>
          </c:cat>
          <c:val>
            <c:numRef>
              <c:f>Running!$U$39:$U$44</c:f>
              <c:numCache>
                <c:formatCode>General</c:formatCode>
                <c:ptCount val="5"/>
                <c:pt idx="0">
                  <c:v>42</c:v>
                </c:pt>
                <c:pt idx="1">
                  <c:v>19</c:v>
                </c:pt>
                <c:pt idx="2">
                  <c:v>157</c:v>
                </c:pt>
                <c:pt idx="3">
                  <c:v>39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1-48DF-AC9F-AC8D5F65F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5699336"/>
        <c:axId val="1905854472"/>
      </c:barChart>
      <c:catAx>
        <c:axId val="190569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2F2F2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54472"/>
        <c:crosses val="autoZero"/>
        <c:auto val="1"/>
        <c:lblAlgn val="ctr"/>
        <c:lblOffset val="100"/>
        <c:noMultiLvlLbl val="0"/>
      </c:catAx>
      <c:valAx>
        <c:axId val="190585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6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[Knitting Machine Dashboard.xlsx]Parking!PivotTable4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Parking Machines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D7F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5C66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9E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D7F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5C66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59E5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Parking!$Y$49:$Y$50</c:f>
              <c:strCache>
                <c:ptCount val="1"/>
                <c:pt idx="0">
                  <c:v>HIE</c:v>
                </c:pt>
              </c:strCache>
            </c:strRef>
          </c:tx>
          <c:spPr>
            <a:solidFill>
              <a:srgbClr val="AD7F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Parking!$W$51:$X$54</c:f>
              <c:multiLvlStrCache>
                <c:ptCount val="3"/>
                <c:lvl>
                  <c:pt idx="0">
                    <c:v>Batch Parking</c:v>
                  </c:pt>
                  <c:pt idx="1">
                    <c:v>Pathway Parking</c:v>
                  </c:pt>
                  <c:pt idx="2">
                    <c:v>Training (M/C)</c:v>
                  </c:pt>
                </c:lvl>
                <c:lvl>
                  <c:pt idx="0">
                    <c:v>Idle</c:v>
                  </c:pt>
                </c:lvl>
              </c:multiLvlStrCache>
            </c:multiLvlStrRef>
          </c:cat>
          <c:val>
            <c:numRef>
              <c:f>Parking!$Y$51:$Y$54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B-49DA-BE4B-467D14D8B06B}"/>
            </c:ext>
          </c:extLst>
        </c:ser>
        <c:ser>
          <c:idx val="1"/>
          <c:order val="1"/>
          <c:tx>
            <c:strRef>
              <c:f>Parking!$Z$49:$Z$50</c:f>
              <c:strCache>
                <c:ptCount val="1"/>
                <c:pt idx="0">
                  <c:v>TOP2</c:v>
                </c:pt>
              </c:strCache>
            </c:strRef>
          </c:tx>
          <c:spPr>
            <a:solidFill>
              <a:srgbClr val="B5C66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Parking!$W$51:$X$54</c:f>
              <c:multiLvlStrCache>
                <c:ptCount val="3"/>
                <c:lvl>
                  <c:pt idx="0">
                    <c:v>Batch Parking</c:v>
                  </c:pt>
                  <c:pt idx="1">
                    <c:v>Pathway Parking</c:v>
                  </c:pt>
                  <c:pt idx="2">
                    <c:v>Training (M/C)</c:v>
                  </c:pt>
                </c:lvl>
                <c:lvl>
                  <c:pt idx="0">
                    <c:v>Idle</c:v>
                  </c:pt>
                </c:lvl>
              </c:multiLvlStrCache>
            </c:multiLvlStrRef>
          </c:cat>
          <c:val>
            <c:numRef>
              <c:f>Parking!$Z$51:$Z$54</c:f>
              <c:numCache>
                <c:formatCode>General</c:formatCode>
                <c:ptCount val="3"/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75-4ACB-9BE3-655EAC0473A7}"/>
            </c:ext>
          </c:extLst>
        </c:ser>
        <c:ser>
          <c:idx val="2"/>
          <c:order val="2"/>
          <c:tx>
            <c:strRef>
              <c:f>Parking!$AA$49:$AA$50</c:f>
              <c:strCache>
                <c:ptCount val="1"/>
                <c:pt idx="0">
                  <c:v>TR</c:v>
                </c:pt>
              </c:strCache>
            </c:strRef>
          </c:tx>
          <c:spPr>
            <a:solidFill>
              <a:srgbClr val="F59E5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Parking!$W$51:$X$54</c:f>
              <c:multiLvlStrCache>
                <c:ptCount val="3"/>
                <c:lvl>
                  <c:pt idx="0">
                    <c:v>Batch Parking</c:v>
                  </c:pt>
                  <c:pt idx="1">
                    <c:v>Pathway Parking</c:v>
                  </c:pt>
                  <c:pt idx="2">
                    <c:v>Training (M/C)</c:v>
                  </c:pt>
                </c:lvl>
                <c:lvl>
                  <c:pt idx="0">
                    <c:v>Idle</c:v>
                  </c:pt>
                </c:lvl>
              </c:multiLvlStrCache>
            </c:multiLvlStrRef>
          </c:cat>
          <c:val>
            <c:numRef>
              <c:f>Parking!$AA$51:$AA$54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75-4ACB-9BE3-655EAC0473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6129927"/>
        <c:axId val="1746131975"/>
      </c:barChart>
      <c:catAx>
        <c:axId val="1746129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2F2F2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31975"/>
        <c:crosses val="autoZero"/>
        <c:auto val="1"/>
        <c:lblAlgn val="ctr"/>
        <c:lblOffset val="100"/>
        <c:noMultiLvlLbl val="0"/>
      </c:catAx>
      <c:valAx>
        <c:axId val="174613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2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[Knitting Machine Dashboard.xlsx]Advantis!PivotTable1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Advantis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574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D7F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666B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5C66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BB8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Advantis!$U$43:$U$44</c:f>
              <c:strCache>
                <c:ptCount val="1"/>
                <c:pt idx="0">
                  <c:v>TOP2</c:v>
                </c:pt>
              </c:strCache>
            </c:strRef>
          </c:tx>
          <c:spPr>
            <a:solidFill>
              <a:srgbClr val="B5C66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Advantis!$S$45:$T$53</c:f>
              <c:multiLvlStrCache>
                <c:ptCount val="4"/>
                <c:lvl>
                  <c:pt idx="0">
                    <c:v>Advantis Mothball</c:v>
                  </c:pt>
                  <c:pt idx="1">
                    <c:v>Advantis Mothball</c:v>
                  </c:pt>
                  <c:pt idx="2">
                    <c:v>Advantis Mothball</c:v>
                  </c:pt>
                  <c:pt idx="3">
                    <c:v>Advantis Mothball</c:v>
                  </c:pt>
                </c:lvl>
                <c:lvl>
                  <c:pt idx="0">
                    <c:v>13</c:v>
                  </c:pt>
                  <c:pt idx="1">
                    <c:v>14</c:v>
                  </c:pt>
                  <c:pt idx="2">
                    <c:v>15</c:v>
                  </c:pt>
                  <c:pt idx="3">
                    <c:v>17</c:v>
                  </c:pt>
                </c:lvl>
              </c:multiLvlStrCache>
            </c:multiLvlStrRef>
          </c:cat>
          <c:val>
            <c:numRef>
              <c:f>Advantis!$U$45:$U$53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F-40C4-9F66-3DDEC82847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2689800"/>
        <c:axId val="822691848"/>
      </c:barChart>
      <c:catAx>
        <c:axId val="822689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</a:p>
            </c:rich>
          </c:tx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2F2F2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91848"/>
        <c:crosses val="autoZero"/>
        <c:auto val="1"/>
        <c:lblAlgn val="ctr"/>
        <c:lblOffset val="100"/>
        <c:noMultiLvlLbl val="0"/>
      </c:catAx>
      <c:valAx>
        <c:axId val="82269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2F2F2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8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2</xdr:row>
      <xdr:rowOff>190500</xdr:rowOff>
    </xdr:from>
    <xdr:to>
      <xdr:col>3</xdr:col>
      <xdr:colOff>123825</xdr:colOff>
      <xdr:row>4</xdr:row>
      <xdr:rowOff>161925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F531FB19-D121-FC6C-0361-93828A700D29}"/>
            </a:ext>
          </a:extLst>
        </xdr:cNvPr>
        <xdr:cNvSpPr/>
      </xdr:nvSpPr>
      <xdr:spPr>
        <a:xfrm>
          <a:off x="1666875" y="581025"/>
          <a:ext cx="285750" cy="361950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190500</xdr:colOff>
      <xdr:row>5</xdr:row>
      <xdr:rowOff>104775</xdr:rowOff>
    </xdr:from>
    <xdr:to>
      <xdr:col>17</xdr:col>
      <xdr:colOff>457200</xdr:colOff>
      <xdr:row>21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AB634D-0241-83B3-FAB2-E136D09FC841}"/>
            </a:ext>
            <a:ext uri="{147F2762-F138-4A5C-976F-8EAC2B608ADB}">
              <a16:predDERef xmlns:a16="http://schemas.microsoft.com/office/drawing/2014/main" pred="{F531FB19-D121-FC6C-0361-93828A700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180975</xdr:colOff>
      <xdr:row>21</xdr:row>
      <xdr:rowOff>95250</xdr:rowOff>
    </xdr:from>
    <xdr:to>
      <xdr:col>17</xdr:col>
      <xdr:colOff>457200</xdr:colOff>
      <xdr:row>24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ype 1">
              <a:extLst>
                <a:ext uri="{FF2B5EF4-FFF2-40B4-BE49-F238E27FC236}">
                  <a16:creationId xmlns:a16="http://schemas.microsoft.com/office/drawing/2014/main" id="{12D6445E-C713-42B5-63B9-91692AD38A7A}"/>
                </a:ext>
                <a:ext uri="{147F2762-F138-4A5C-976F-8EAC2B608ADB}">
                  <a16:predDERef xmlns:a16="http://schemas.microsoft.com/office/drawing/2014/main" pred="{2AAB634D-0241-83B3-FAB2-E136D09FC8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24525" y="4152900"/>
              <a:ext cx="5143500" cy="6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21</xdr:row>
      <xdr:rowOff>85725</xdr:rowOff>
    </xdr:from>
    <xdr:to>
      <xdr:col>9</xdr:col>
      <xdr:colOff>114300</xdr:colOff>
      <xdr:row>24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us">
              <a:extLst>
                <a:ext uri="{FF2B5EF4-FFF2-40B4-BE49-F238E27FC236}">
                  <a16:creationId xmlns:a16="http://schemas.microsoft.com/office/drawing/2014/main" id="{C3C12AF3-B9EB-3CF6-67A9-A4068A42A86B}"/>
                </a:ext>
                <a:ext uri="{147F2762-F138-4A5C-976F-8EAC2B608ADB}">
                  <a16:predDERef xmlns:a16="http://schemas.microsoft.com/office/drawing/2014/main" pred="{12D6445E-C713-42B5-63B9-91692AD38A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5225" y="4143375"/>
              <a:ext cx="1943100" cy="62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3</xdr:row>
      <xdr:rowOff>0</xdr:rowOff>
    </xdr:from>
    <xdr:to>
      <xdr:col>6</xdr:col>
      <xdr:colOff>123825</xdr:colOff>
      <xdr:row>4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4BF8ABF-5D0E-4C39-BE86-E49DD65366CB}"/>
            </a:ext>
          </a:extLst>
        </xdr:cNvPr>
        <xdr:cNvSpPr/>
      </xdr:nvSpPr>
      <xdr:spPr>
        <a:xfrm>
          <a:off x="3495675" y="571500"/>
          <a:ext cx="285750" cy="361950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171450</xdr:colOff>
      <xdr:row>6</xdr:row>
      <xdr:rowOff>28575</xdr:rowOff>
    </xdr:from>
    <xdr:to>
      <xdr:col>17</xdr:col>
      <xdr:colOff>381000</xdr:colOff>
      <xdr:row>20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1D9123-74B9-0088-6378-9B1A2611A2A9}"/>
            </a:ext>
            <a:ext uri="{147F2762-F138-4A5C-976F-8EAC2B608ADB}">
              <a16:predDERef xmlns:a16="http://schemas.microsoft.com/office/drawing/2014/main" pred="{04BF8ABF-5D0E-4C39-BE86-E49DD6536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190500</xdr:colOff>
      <xdr:row>21</xdr:row>
      <xdr:rowOff>85725</xdr:rowOff>
    </xdr:from>
    <xdr:to>
      <xdr:col>17</xdr:col>
      <xdr:colOff>361950</xdr:colOff>
      <xdr:row>24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ype">
              <a:extLst>
                <a:ext uri="{FF2B5EF4-FFF2-40B4-BE49-F238E27FC236}">
                  <a16:creationId xmlns:a16="http://schemas.microsoft.com/office/drawing/2014/main" id="{9E7887A1-341B-3123-8892-28E152490F97}"/>
                </a:ext>
                <a:ext uri="{147F2762-F138-4A5C-976F-8EAC2B608ADB}">
                  <a16:predDERef xmlns:a16="http://schemas.microsoft.com/office/drawing/2014/main" pred="{5D1D9123-74B9-0088-6378-9B1A2611A2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4050" y="4143375"/>
              <a:ext cx="5048250" cy="6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6</xdr:row>
      <xdr:rowOff>47625</xdr:rowOff>
    </xdr:from>
    <xdr:to>
      <xdr:col>17</xdr:col>
      <xdr:colOff>419100</xdr:colOff>
      <xdr:row>20</xdr:row>
      <xdr:rowOff>180975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48A9C9B-1578-D68E-ED19-C5DBED7F315D}"/>
            </a:ext>
            <a:ext uri="{147F2762-F138-4A5C-976F-8EAC2B608ADB}">
              <a16:predDERef xmlns:a16="http://schemas.microsoft.com/office/drawing/2014/main" pred="{C81C7566-0771-FA3A-6EDF-69C9E06E6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466725</xdr:colOff>
      <xdr:row>2</xdr:row>
      <xdr:rowOff>190500</xdr:rowOff>
    </xdr:from>
    <xdr:to>
      <xdr:col>9</xdr:col>
      <xdr:colOff>142875</xdr:colOff>
      <xdr:row>4</xdr:row>
      <xdr:rowOff>161925</xdr:rowOff>
    </xdr:to>
    <xdr:sp macro="" textlink="">
      <xdr:nvSpPr>
        <xdr:cNvPr id="2" name="Down Arrow 3">
          <a:extLst>
            <a:ext uri="{FF2B5EF4-FFF2-40B4-BE49-F238E27FC236}">
              <a16:creationId xmlns:a16="http://schemas.microsoft.com/office/drawing/2014/main" id="{829ED294-068E-42AD-9E3E-1EA576B2676A}"/>
            </a:ext>
          </a:extLst>
        </xdr:cNvPr>
        <xdr:cNvSpPr/>
      </xdr:nvSpPr>
      <xdr:spPr>
        <a:xfrm>
          <a:off x="5391150" y="581025"/>
          <a:ext cx="285750" cy="361950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9</xdr:col>
      <xdr:colOff>247650</xdr:colOff>
      <xdr:row>21</xdr:row>
      <xdr:rowOff>66675</xdr:rowOff>
    </xdr:from>
    <xdr:to>
      <xdr:col>17</xdr:col>
      <xdr:colOff>409575</xdr:colOff>
      <xdr:row>24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ype 2">
              <a:extLst>
                <a:ext uri="{FF2B5EF4-FFF2-40B4-BE49-F238E27FC236}">
                  <a16:creationId xmlns:a16="http://schemas.microsoft.com/office/drawing/2014/main" id="{2728730D-1B31-2420-5F7F-76FB15ECDE7C}"/>
                </a:ext>
                <a:ext uri="{147F2762-F138-4A5C-976F-8EAC2B608ADB}">
                  <a16:predDERef xmlns:a16="http://schemas.microsoft.com/office/drawing/2014/main" pred="{829ED294-068E-42AD-9E3E-1EA576B267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675" y="4124325"/>
              <a:ext cx="5038725" cy="62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3</xdr:row>
      <xdr:rowOff>0</xdr:rowOff>
    </xdr:from>
    <xdr:to>
      <xdr:col>12</xdr:col>
      <xdr:colOff>133350</xdr:colOff>
      <xdr:row>4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3859C2B4-25AA-4DDD-B064-47C4C43FF589}"/>
            </a:ext>
          </a:extLst>
        </xdr:cNvPr>
        <xdr:cNvSpPr/>
      </xdr:nvSpPr>
      <xdr:spPr>
        <a:xfrm>
          <a:off x="7162800" y="571500"/>
          <a:ext cx="285750" cy="361950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152400</xdr:colOff>
      <xdr:row>5</xdr:row>
      <xdr:rowOff>104775</xdr:rowOff>
    </xdr:from>
    <xdr:to>
      <xdr:col>17</xdr:col>
      <xdr:colOff>466725</xdr:colOff>
      <xdr:row>20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13C3E2-9B2E-D1F7-755C-AF9AF8DE762D}"/>
            </a:ext>
            <a:ext uri="{147F2762-F138-4A5C-976F-8EAC2B608ADB}">
              <a16:predDERef xmlns:a16="http://schemas.microsoft.com/office/drawing/2014/main" pred="{3859C2B4-25AA-4DDD-B064-47C4C43FF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200025</xdr:colOff>
      <xdr:row>20</xdr:row>
      <xdr:rowOff>209550</xdr:rowOff>
    </xdr:from>
    <xdr:to>
      <xdr:col>17</xdr:col>
      <xdr:colOff>457200</xdr:colOff>
      <xdr:row>24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e 3">
              <a:extLst>
                <a:ext uri="{FF2B5EF4-FFF2-40B4-BE49-F238E27FC236}">
                  <a16:creationId xmlns:a16="http://schemas.microsoft.com/office/drawing/2014/main" id="{02337CC6-6F68-D729-7D06-B25D217E5A34}"/>
                </a:ext>
                <a:ext uri="{147F2762-F138-4A5C-976F-8EAC2B608ADB}">
                  <a16:predDERef xmlns:a16="http://schemas.microsoft.com/office/drawing/2014/main" pred="{6313C3E2-9B2E-D1F7-755C-AF9AF8DE76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4050" y="4133850"/>
              <a:ext cx="5133975" cy="619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nusha Samanthilaka" id="{C9164E0E-7629-4875-A152-3E401F65A49D}" userId="S::dinushasam@masholdings.com::ce2984a5-d429-42ab-a183-32bc2a10eb5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334497569442" createdVersion="8" refreshedVersion="8" minRefreshableVersion="3" recordCount="294" xr:uid="{F9AA3102-0D97-493E-AA87-383B66D3AEF1}">
  <cacheSource type="worksheet">
    <worksheetSource name="Table1"/>
  </cacheSource>
  <cacheFields count="8">
    <cacheField name="Machine No" numFmtId="0">
      <sharedItems containsBlank="1" containsMixedTypes="1" containsNumber="1" containsInteger="1" minValue="1606" maxValue="16113"/>
    </cacheField>
    <cacheField name="Serial No" numFmtId="0">
      <sharedItems containsMixedTypes="1" containsNumber="1" containsInteger="1" minValue="8004605" maxValue="80188798"/>
    </cacheField>
    <cacheField name="M/C Year" numFmtId="0">
      <sharedItems containsString="0" containsBlank="1" containsNumber="1" containsInteger="1" minValue="2001" maxValue="2025"/>
    </cacheField>
    <cacheField name="Diameter" numFmtId="0">
      <sharedItems containsSemiMixedTypes="0" containsString="0" containsNumber="1" containsInteger="1" minValue="11" maxValue="22" count="12">
        <n v="20"/>
        <n v="19"/>
        <n v="14"/>
        <n v="16"/>
        <n v="15"/>
        <n v="17"/>
        <n v="18"/>
        <n v="13"/>
        <n v="12"/>
        <n v="22"/>
        <n v="11"/>
        <n v="21"/>
      </sharedItems>
    </cacheField>
    <cacheField name="Type" numFmtId="0">
      <sharedItems count="5">
        <s v="TOP2V"/>
        <s v="HIE"/>
        <s v="TOP2"/>
        <s v="TR1S"/>
        <s v="TR"/>
      </sharedItems>
    </cacheField>
    <cacheField name="Location Group" numFmtId="0">
      <sharedItems containsMixedTypes="1" containsNumber="1" containsInteger="1" minValue="1" maxValue="23" count="26">
        <s v="DEV (18)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9"/>
        <n v="20"/>
        <n v="21"/>
        <n v="22"/>
        <n v="23"/>
        <s v="Pathway Parking"/>
        <s v="Batch Parking"/>
        <s v="Training (M/C)"/>
      </sharedItems>
    </cacheField>
    <cacheField name="Status" numFmtId="0">
      <sharedItems count="2">
        <s v="Active"/>
        <s v="Idle"/>
      </sharedItems>
    </cacheField>
    <cacheField name="Service Date" numFmtId="164">
      <sharedItems containsNonDate="0" containsDate="1" containsString="0" containsBlank="1" minDate="2023-02-15T00:00:00" maxDate="2026-01-07T00:00:00"/>
    </cacheField>
  </cacheFields>
  <extLst>
    <ext xmlns:x14="http://schemas.microsoft.com/office/spreadsheetml/2009/9/main" uri="{725AE2AE-9491-48be-B2B4-4EB974FC3084}">
      <x14:pivotCacheDefinition pivotCacheId="143615407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334497685188" createdVersion="8" refreshedVersion="8" minRefreshableVersion="3" recordCount="12" xr:uid="{CA8DA868-D908-43F8-94FB-4319A5F87D15}">
  <cacheSource type="worksheet">
    <worksheetSource name="Table4"/>
  </cacheSource>
  <cacheFields count="7">
    <cacheField name="Machine No" numFmtId="0">
      <sharedItems containsMixedTypes="1" containsNumber="1" containsInteger="1" minValue="1386" maxValue="15132"/>
    </cacheField>
    <cacheField name="Serial No" numFmtId="0">
      <sharedItems containsSemiMixedTypes="0" containsString="0" containsNumber="1" containsInteger="1" minValue="8003064" maxValue="8017991"/>
    </cacheField>
    <cacheField name="M/C Inhouse Date" numFmtId="14">
      <sharedItems containsNonDate="0" containsString="0" containsBlank="1"/>
    </cacheField>
    <cacheField name="M/C Year" numFmtId="0">
      <sharedItems containsSemiMixedTypes="0" containsString="0" containsNumber="1" containsInteger="1" minValue="2000" maxValue="2017"/>
    </cacheField>
    <cacheField name="Diameter" numFmtId="0">
      <sharedItems containsSemiMixedTypes="0" containsString="0" containsNumber="1" containsInteger="1" minValue="13" maxValue="18" count="6">
        <n v="13"/>
        <n v="14"/>
        <n v="15"/>
        <n v="17"/>
        <n v="16" u="1"/>
        <n v="18" u="1"/>
      </sharedItems>
    </cacheField>
    <cacheField name="Type" numFmtId="0">
      <sharedItems count="5">
        <s v="TOP2"/>
        <s v="HIE"/>
        <s v="EVO4J"/>
        <s v="TOP"/>
        <s v="TR1S" u="1"/>
      </sharedItems>
    </cacheField>
    <cacheField name="Current Location" numFmtId="0">
      <sharedItems count="2">
        <s v="Advantis Mothball"/>
        <s v="Advantis" u="1"/>
      </sharedItems>
    </cacheField>
  </cacheFields>
  <extLst>
    <ext xmlns:x14="http://schemas.microsoft.com/office/spreadsheetml/2009/9/main" uri="{725AE2AE-9491-48be-B2B4-4EB974FC3084}">
      <x14:pivotCacheDefinition pivotCacheId="21424023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s v="2025 (F W)"/>
    <n v="8020936"/>
    <n v="2022"/>
    <x v="0"/>
    <x v="0"/>
    <x v="0"/>
    <x v="0"/>
    <d v="2025-02-12T00:00:00"/>
  </r>
  <r>
    <s v="2023 (F S)"/>
    <n v="8016221"/>
    <n v="2013"/>
    <x v="0"/>
    <x v="1"/>
    <x v="0"/>
    <x v="0"/>
    <d v="2025-04-22T00:00:00"/>
  </r>
  <r>
    <s v="1947 (F S)"/>
    <n v="8015556"/>
    <n v="2012"/>
    <x v="1"/>
    <x v="1"/>
    <x v="0"/>
    <x v="0"/>
    <d v="2025-03-07T00:00:00"/>
  </r>
  <r>
    <s v="1450 (F S)"/>
    <n v="8015749"/>
    <n v="2013"/>
    <x v="2"/>
    <x v="1"/>
    <x v="0"/>
    <x v="0"/>
    <d v="2024-12-20T00:00:00"/>
  </r>
  <r>
    <s v="1693 (F S)"/>
    <n v="8015606"/>
    <n v="2013"/>
    <x v="3"/>
    <x v="1"/>
    <x v="0"/>
    <x v="0"/>
    <d v="2025-07-28T00:00:00"/>
  </r>
  <r>
    <s v="15135 (F W)"/>
    <n v="8004605"/>
    <n v="2001"/>
    <x v="4"/>
    <x v="2"/>
    <x v="0"/>
    <x v="0"/>
    <d v="2025-01-11T00:00:00"/>
  </r>
  <r>
    <s v="D-17 (H M S)"/>
    <n v="8013492"/>
    <n v="2010"/>
    <x v="5"/>
    <x v="1"/>
    <x v="0"/>
    <x v="0"/>
    <d v="2025-08-27T00:00:00"/>
  </r>
  <r>
    <s v="1822 (F S)"/>
    <n v="8015522"/>
    <n v="2012"/>
    <x v="6"/>
    <x v="1"/>
    <x v="0"/>
    <x v="0"/>
    <d v="2025-07-21T00:00:00"/>
  </r>
  <r>
    <s v="1387 (F S)"/>
    <n v="8015837"/>
    <n v="2013"/>
    <x v="7"/>
    <x v="1"/>
    <x v="0"/>
    <x v="0"/>
    <d v="2025-09-18T00:00:00"/>
  </r>
  <r>
    <s v="1590 (H F S)"/>
    <n v="8014553"/>
    <n v="2011"/>
    <x v="4"/>
    <x v="1"/>
    <x v="0"/>
    <x v="0"/>
    <d v="2024-12-28T00:00:00"/>
  </r>
  <r>
    <s v="1213 (F S)"/>
    <n v="8016050"/>
    <n v="2013"/>
    <x v="8"/>
    <x v="1"/>
    <x v="0"/>
    <x v="0"/>
    <d v="2025-08-26T00:00:00"/>
  </r>
  <r>
    <s v="16110 (F S)"/>
    <n v="8016043"/>
    <n v="2013"/>
    <x v="3"/>
    <x v="1"/>
    <x v="0"/>
    <x v="0"/>
    <d v="2025-06-18T00:00:00"/>
  </r>
  <r>
    <s v="1799 (M W)"/>
    <n v="8018469"/>
    <n v="2018"/>
    <x v="5"/>
    <x v="0"/>
    <x v="1"/>
    <x v="0"/>
    <d v="2025-03-19T00:00:00"/>
  </r>
  <r>
    <s v="1784 (F W)"/>
    <n v="8017966"/>
    <n v="2017"/>
    <x v="5"/>
    <x v="0"/>
    <x v="1"/>
    <x v="0"/>
    <d v="2025-03-26T00:00:00"/>
  </r>
  <r>
    <s v="1315 (F S)"/>
    <n v="8015277"/>
    <n v="2012"/>
    <x v="7"/>
    <x v="1"/>
    <x v="1"/>
    <x v="0"/>
    <d v="2025-03-31T00:00:00"/>
  </r>
  <r>
    <s v="1778 (M W)"/>
    <n v="8019095"/>
    <n v="2019"/>
    <x v="5"/>
    <x v="0"/>
    <x v="1"/>
    <x v="0"/>
    <d v="2025-04-08T00:00:00"/>
  </r>
  <r>
    <s v="17104 (M W)"/>
    <n v="8018466"/>
    <n v="2018"/>
    <x v="5"/>
    <x v="0"/>
    <x v="1"/>
    <x v="0"/>
    <d v="2025-03-31T00:00:00"/>
  </r>
  <r>
    <s v="1780 ( F E )"/>
    <n v="8018272"/>
    <n v="2017"/>
    <x v="5"/>
    <x v="0"/>
    <x v="1"/>
    <x v="0"/>
    <d v="2024-11-17T00:00:00"/>
  </r>
  <r>
    <s v="1689 (M W)"/>
    <n v="8019094"/>
    <n v="2019"/>
    <x v="3"/>
    <x v="0"/>
    <x v="1"/>
    <x v="0"/>
    <d v="2025-04-07T00:00:00"/>
  </r>
  <r>
    <s v="1688 (M W)"/>
    <n v="8019116"/>
    <n v="2019"/>
    <x v="3"/>
    <x v="0"/>
    <x v="1"/>
    <x v="0"/>
    <d v="2025-09-22T00:00:00"/>
  </r>
  <r>
    <s v="1788 (M S)"/>
    <n v="8009086"/>
    <n v="2005"/>
    <x v="5"/>
    <x v="2"/>
    <x v="1"/>
    <x v="0"/>
    <d v="2024-12-19T00:00:00"/>
  </r>
  <r>
    <s v="17106 (F W)"/>
    <n v="8017240"/>
    <n v="2015"/>
    <x v="5"/>
    <x v="0"/>
    <x v="1"/>
    <x v="0"/>
    <d v="2024-09-03T00:00:00"/>
  </r>
  <r>
    <s v="1586 (F W)"/>
    <n v="8018269"/>
    <n v="2017"/>
    <x v="4"/>
    <x v="0"/>
    <x v="1"/>
    <x v="0"/>
    <d v="2025-09-26T00:00:00"/>
  </r>
  <r>
    <s v="1964 (M W)"/>
    <n v="8021543"/>
    <n v="2022"/>
    <x v="1"/>
    <x v="0"/>
    <x v="1"/>
    <x v="0"/>
    <d v="2025-08-22T00:00:00"/>
  </r>
  <r>
    <s v="17116 (M W)"/>
    <n v="8006106"/>
    <n v="2003"/>
    <x v="5"/>
    <x v="2"/>
    <x v="2"/>
    <x v="0"/>
    <d v="2025-01-10T00:00:00"/>
  </r>
  <r>
    <m/>
    <n v="8021599"/>
    <m/>
    <x v="3"/>
    <x v="3"/>
    <x v="2"/>
    <x v="0"/>
    <m/>
  </r>
  <r>
    <s v="17109 (M W)"/>
    <n v="8006181"/>
    <n v="2003"/>
    <x v="5"/>
    <x v="2"/>
    <x v="2"/>
    <x v="0"/>
    <d v="2024-12-23T00:00:00"/>
  </r>
  <r>
    <s v="1394 (F S)"/>
    <n v="8015927"/>
    <n v="2013"/>
    <x v="7"/>
    <x v="1"/>
    <x v="2"/>
    <x v="0"/>
    <d v="2025-02-03T00:00:00"/>
  </r>
  <r>
    <s v="1865 (M W)"/>
    <n v="8019105"/>
    <n v="2019"/>
    <x v="6"/>
    <x v="0"/>
    <x v="2"/>
    <x v="0"/>
    <d v="2025-03-14T00:00:00"/>
  </r>
  <r>
    <s v="1371 (F W)"/>
    <n v="8017955"/>
    <n v="2017"/>
    <x v="7"/>
    <x v="0"/>
    <x v="2"/>
    <x v="0"/>
    <d v="2025-08-11T00:00:00"/>
  </r>
  <r>
    <s v="17110 (M W)"/>
    <n v="8006107"/>
    <n v="2003"/>
    <x v="5"/>
    <x v="2"/>
    <x v="2"/>
    <x v="0"/>
    <d v="2024-12-22T00:00:00"/>
  </r>
  <r>
    <s v="17107 (F W)"/>
    <n v="8017230"/>
    <n v="2015"/>
    <x v="5"/>
    <x v="0"/>
    <x v="2"/>
    <x v="0"/>
    <d v="2025-02-26T00:00:00"/>
  </r>
  <r>
    <s v="1867 (F W)"/>
    <n v="8018975"/>
    <n v="2019"/>
    <x v="6"/>
    <x v="0"/>
    <x v="2"/>
    <x v="0"/>
    <d v="2025-01-18T00:00:00"/>
  </r>
  <r>
    <s v="1893 (F W)"/>
    <n v="8020934"/>
    <n v="2022"/>
    <x v="6"/>
    <x v="0"/>
    <x v="2"/>
    <x v="0"/>
    <d v="2025-09-18T00:00:00"/>
  </r>
  <r>
    <s v="1381 (F W)"/>
    <n v="8019237"/>
    <n v="2020"/>
    <x v="7"/>
    <x v="0"/>
    <x v="2"/>
    <x v="0"/>
    <d v="2025-05-10T00:00:00"/>
  </r>
  <r>
    <s v="1685 (F W)"/>
    <n v="8018388"/>
    <n v="2018"/>
    <x v="3"/>
    <x v="0"/>
    <x v="2"/>
    <x v="0"/>
    <d v="2025-08-30T00:00:00"/>
  </r>
  <r>
    <s v="1472 (F W)"/>
    <n v="8017961"/>
    <n v="2017"/>
    <x v="2"/>
    <x v="0"/>
    <x v="3"/>
    <x v="0"/>
    <d v="2025-04-28T00:00:00"/>
  </r>
  <r>
    <s v="2034 (M W)"/>
    <n v="8021545"/>
    <n v="2022"/>
    <x v="0"/>
    <x v="0"/>
    <x v="3"/>
    <x v="0"/>
    <d v="2026-01-05T00:00:00"/>
  </r>
  <r>
    <s v="16120 (F W)"/>
    <n v="8020832"/>
    <n v="2022"/>
    <x v="3"/>
    <x v="0"/>
    <x v="3"/>
    <x v="0"/>
    <d v="2025-04-25T00:00:00"/>
  </r>
  <r>
    <s v="1491 (F W)"/>
    <n v="8019241"/>
    <n v="2020"/>
    <x v="2"/>
    <x v="0"/>
    <x v="3"/>
    <x v="0"/>
    <d v="2025-06-13T00:00:00"/>
  </r>
  <r>
    <s v="1468 (F W)"/>
    <n v="8017959"/>
    <n v="2017"/>
    <x v="2"/>
    <x v="0"/>
    <x v="3"/>
    <x v="0"/>
    <d v="2025-09-06T00:00:00"/>
  </r>
  <r>
    <s v="1952 (F W)"/>
    <n v="8020823"/>
    <n v="2022"/>
    <x v="1"/>
    <x v="0"/>
    <x v="3"/>
    <x v="0"/>
    <d v="2025-07-04T00:00:00"/>
  </r>
  <r>
    <s v="1966 (M W)"/>
    <n v="8021544"/>
    <n v="2022"/>
    <x v="1"/>
    <x v="0"/>
    <x v="3"/>
    <x v="0"/>
    <d v="2025-07-25T00:00:00"/>
  </r>
  <r>
    <s v="1477 (M W)"/>
    <n v="8019107"/>
    <n v="2019"/>
    <x v="2"/>
    <x v="0"/>
    <x v="3"/>
    <x v="0"/>
    <d v="2025-06-10T00:00:00"/>
  </r>
  <r>
    <s v="1882 (M W)"/>
    <n v="8018811"/>
    <n v="2019"/>
    <x v="6"/>
    <x v="0"/>
    <x v="3"/>
    <x v="0"/>
    <d v="2024-12-12T00:00:00"/>
  </r>
  <r>
    <s v="1485 (M W)"/>
    <n v="8019108"/>
    <n v="2019"/>
    <x v="2"/>
    <x v="0"/>
    <x v="3"/>
    <x v="0"/>
    <d v="2025-01-24T00:00:00"/>
  </r>
  <r>
    <s v="1515 (F W)"/>
    <n v="8017963"/>
    <n v="2017"/>
    <x v="4"/>
    <x v="0"/>
    <x v="3"/>
    <x v="0"/>
    <d v="2025-02-05T00:00:00"/>
  </r>
  <r>
    <s v="22New (2204) (F W)"/>
    <n v="8020938"/>
    <n v="2022"/>
    <x v="9"/>
    <x v="0"/>
    <x v="3"/>
    <x v="0"/>
    <d v="2025-07-31T00:00:00"/>
  </r>
  <r>
    <s v="1883 (M W)"/>
    <n v="8018369"/>
    <n v="2018"/>
    <x v="6"/>
    <x v="0"/>
    <x v="4"/>
    <x v="0"/>
    <d v="2025-02-08T00:00:00"/>
  </r>
  <r>
    <s v="2017 (M W)"/>
    <n v="8019126"/>
    <n v="2019"/>
    <x v="0"/>
    <x v="0"/>
    <x v="4"/>
    <x v="0"/>
    <d v="2024-12-06T00:00:00"/>
  </r>
  <r>
    <s v="1935 (M W)"/>
    <n v="8019124"/>
    <n v="2019"/>
    <x v="1"/>
    <x v="0"/>
    <x v="4"/>
    <x v="0"/>
    <d v="2025-09-04T00:00:00"/>
  </r>
  <r>
    <s v="1682 (F W)"/>
    <n v="8017979"/>
    <n v="2017"/>
    <x v="3"/>
    <x v="0"/>
    <x v="4"/>
    <x v="0"/>
    <d v="2026-01-05T00:00:00"/>
  </r>
  <r>
    <s v="1252 (F W)"/>
    <n v="8021186"/>
    <n v="2022"/>
    <x v="8"/>
    <x v="0"/>
    <x v="4"/>
    <x v="0"/>
    <d v="2025-02-17T00:00:00"/>
  </r>
  <r>
    <s v="1583 (F W)"/>
    <n v="8017180"/>
    <n v="2015"/>
    <x v="4"/>
    <x v="0"/>
    <x v="4"/>
    <x v="0"/>
    <d v="2025-09-23T00:00:00"/>
  </r>
  <r>
    <s v="1113 (F W)"/>
    <n v="8020939"/>
    <n v="2022"/>
    <x v="10"/>
    <x v="0"/>
    <x v="4"/>
    <x v="0"/>
    <d v="2025-07-15T00:00:00"/>
  </r>
  <r>
    <s v="1373 (M W)"/>
    <n v="8019090"/>
    <n v="2019"/>
    <x v="7"/>
    <x v="0"/>
    <x v="4"/>
    <x v="0"/>
    <d v="2026-01-01T00:00:00"/>
  </r>
  <r>
    <s v="17108 (F W)"/>
    <n v="8017243"/>
    <n v="2015"/>
    <x v="5"/>
    <x v="0"/>
    <x v="4"/>
    <x v="0"/>
    <d v="2025-05-20T00:00:00"/>
  </r>
  <r>
    <s v="15123 (M W)"/>
    <n v="8018510"/>
    <n v="2018"/>
    <x v="4"/>
    <x v="0"/>
    <x v="4"/>
    <x v="0"/>
    <d v="2026-01-05T00:00:00"/>
  </r>
  <r>
    <s v="1470 (M W)"/>
    <n v="8019111"/>
    <n v="2019"/>
    <x v="2"/>
    <x v="0"/>
    <x v="4"/>
    <x v="0"/>
    <d v="2025-06-01T00:00:00"/>
  </r>
  <r>
    <s v="D-21 (F W)"/>
    <n v="8017229"/>
    <n v="2015"/>
    <x v="11"/>
    <x v="0"/>
    <x v="4"/>
    <x v="0"/>
    <d v="2025-03-28T00:00:00"/>
  </r>
  <r>
    <s v="1934 (F W)"/>
    <n v="8018384"/>
    <n v="2018"/>
    <x v="1"/>
    <x v="0"/>
    <x v="5"/>
    <x v="0"/>
    <d v="2024-12-09T00:00:00"/>
  </r>
  <r>
    <s v="1588 (M W)"/>
    <n v="8019092"/>
    <n v="2019"/>
    <x v="4"/>
    <x v="0"/>
    <x v="5"/>
    <x v="0"/>
    <d v="2025-09-19T00:00:00"/>
  </r>
  <r>
    <s v="1683 (M W)"/>
    <n v="8019117"/>
    <n v="2019"/>
    <x v="3"/>
    <x v="0"/>
    <x v="5"/>
    <x v="0"/>
    <d v="2025-02-13T00:00:00"/>
  </r>
  <r>
    <s v="16123 (F W)"/>
    <n v="8021172"/>
    <n v="2022"/>
    <x v="3"/>
    <x v="0"/>
    <x v="5"/>
    <x v="0"/>
    <d v="2025-05-02T00:00:00"/>
  </r>
  <r>
    <s v="1261 (F W)"/>
    <s v="801870/8018170"/>
    <n v="2017"/>
    <x v="8"/>
    <x v="0"/>
    <x v="5"/>
    <x v="0"/>
    <d v="2023-12-26T00:00:00"/>
  </r>
  <r>
    <s v="1377 (M W)"/>
    <n v="8018974"/>
    <n v="2019"/>
    <x v="7"/>
    <x v="0"/>
    <x v="5"/>
    <x v="0"/>
    <d v="2025-08-18T00:00:00"/>
  </r>
  <r>
    <s v="17119 (M W)"/>
    <n v="8018365"/>
    <n v="2018"/>
    <x v="5"/>
    <x v="0"/>
    <x v="5"/>
    <x v="0"/>
    <d v="2025-05-29T00:00:00"/>
  </r>
  <r>
    <s v="1587 (F W)"/>
    <n v="8017226"/>
    <n v="2015"/>
    <x v="4"/>
    <x v="0"/>
    <x v="5"/>
    <x v="0"/>
    <d v="2025-09-11T00:00:00"/>
  </r>
  <r>
    <s v="1863 (M W)"/>
    <n v="8019093"/>
    <n v="2019"/>
    <x v="6"/>
    <x v="0"/>
    <x v="5"/>
    <x v="0"/>
    <d v="2024-11-07T00:00:00"/>
  </r>
  <r>
    <s v="15124 (M W)"/>
    <n v="8017982"/>
    <n v="2017"/>
    <x v="4"/>
    <x v="0"/>
    <x v="5"/>
    <x v="0"/>
    <d v="2025-06-28T00:00:00"/>
  </r>
  <r>
    <s v="1782 (F W)"/>
    <n v="8017252"/>
    <n v="2015"/>
    <x v="5"/>
    <x v="0"/>
    <x v="5"/>
    <x v="0"/>
    <d v="2025-09-12T00:00:00"/>
  </r>
  <r>
    <s v="1864 (M W)"/>
    <n v="8019104"/>
    <n v="2019"/>
    <x v="6"/>
    <x v="0"/>
    <x v="5"/>
    <x v="0"/>
    <d v="2025-05-14T00:00:00"/>
  </r>
  <r>
    <s v="1891 (F W)"/>
    <n v="8020980"/>
    <n v="2022"/>
    <x v="6"/>
    <x v="0"/>
    <x v="6"/>
    <x v="0"/>
    <d v="2025-06-17T00:00:00"/>
  </r>
  <r>
    <s v="1108 (M W)"/>
    <n v="8019014"/>
    <n v="2019"/>
    <x v="10"/>
    <x v="0"/>
    <x v="6"/>
    <x v="0"/>
    <d v="2025-01-23T00:00:00"/>
  </r>
  <r>
    <s v="1374 (M W)"/>
    <n v="8019101"/>
    <n v="2019"/>
    <x v="7"/>
    <x v="0"/>
    <x v="6"/>
    <x v="0"/>
    <d v="2025-10-14T00:00:00"/>
  </r>
  <r>
    <s v="1240 (F W)"/>
    <n v="8019250"/>
    <n v="2020"/>
    <x v="8"/>
    <x v="0"/>
    <x v="6"/>
    <x v="0"/>
    <d v="2025-08-16T00:00:00"/>
  </r>
  <r>
    <s v="1781 (F W)"/>
    <n v="8017253"/>
    <n v="2015"/>
    <x v="5"/>
    <x v="0"/>
    <x v="6"/>
    <x v="0"/>
    <d v="2024-11-20T00:00:00"/>
  </r>
  <r>
    <n v="2109"/>
    <n v="8021026"/>
    <m/>
    <x v="11"/>
    <x v="0"/>
    <x v="6"/>
    <x v="0"/>
    <d v="2025-04-22T00:00:00"/>
  </r>
  <r>
    <s v="2018 (M W)"/>
    <n v="8019128"/>
    <n v="2019"/>
    <x v="0"/>
    <x v="0"/>
    <x v="6"/>
    <x v="0"/>
    <d v="2025-09-09T00:00:00"/>
  </r>
  <r>
    <s v="1694 (F W)"/>
    <n v="8017988"/>
    <n v="2017"/>
    <x v="3"/>
    <x v="0"/>
    <x v="6"/>
    <x v="0"/>
    <d v="2025-09-25T00:00:00"/>
  </r>
  <r>
    <s v="1580 (F W)"/>
    <n v="8017964"/>
    <n v="2017"/>
    <x v="4"/>
    <x v="0"/>
    <x v="6"/>
    <x v="0"/>
    <d v="2025-03-24T00:00:00"/>
  </r>
  <r>
    <s v="13107 (M W)"/>
    <n v="8021023"/>
    <n v="2022"/>
    <x v="7"/>
    <x v="0"/>
    <x v="6"/>
    <x v="0"/>
    <d v="2025-02-02T00:00:00"/>
  </r>
  <r>
    <s v="1469 (M W)"/>
    <n v="8019112"/>
    <n v="2019"/>
    <x v="2"/>
    <x v="0"/>
    <x v="6"/>
    <x v="0"/>
    <d v="2025-10-16T00:00:00"/>
  </r>
  <r>
    <s v="2103 (F W)"/>
    <n v="8017241"/>
    <n v="2015"/>
    <x v="11"/>
    <x v="0"/>
    <x v="6"/>
    <x v="0"/>
    <d v="2025-05-22T00:00:00"/>
  </r>
  <r>
    <n v="2203"/>
    <n v="8020974"/>
    <m/>
    <x v="9"/>
    <x v="0"/>
    <x v="7"/>
    <x v="0"/>
    <m/>
  </r>
  <r>
    <s v="1897 (F W)"/>
    <n v="8020965"/>
    <n v="2022"/>
    <x v="6"/>
    <x v="0"/>
    <x v="7"/>
    <x v="0"/>
    <d v="2025-07-14T00:00:00"/>
  </r>
  <r>
    <s v="1487 (F W)"/>
    <n v="8019244"/>
    <n v="2020"/>
    <x v="2"/>
    <x v="0"/>
    <x v="7"/>
    <x v="0"/>
    <d v="2025-05-05T00:00:00"/>
  </r>
  <r>
    <s v="1488 (F W)"/>
    <n v="8019242"/>
    <n v="2020"/>
    <x v="2"/>
    <x v="0"/>
    <x v="7"/>
    <x v="0"/>
    <d v="2025-05-31T00:00:00"/>
  </r>
  <r>
    <s v="15118 (F W)"/>
    <n v="8019257"/>
    <n v="2020"/>
    <x v="4"/>
    <x v="0"/>
    <x v="7"/>
    <x v="0"/>
    <d v="2025-01-18T00:00:00"/>
  </r>
  <r>
    <s v="15119 (F W)"/>
    <n v="8019256"/>
    <n v="2020"/>
    <x v="4"/>
    <x v="0"/>
    <x v="7"/>
    <x v="0"/>
    <d v="2024-11-27T00:00:00"/>
  </r>
  <r>
    <s v="1870 (F W)"/>
    <n v="8017968"/>
    <n v="2017"/>
    <x v="6"/>
    <x v="0"/>
    <x v="7"/>
    <x v="0"/>
    <d v="2025-06-14T00:00:00"/>
  </r>
  <r>
    <s v="1937 (F W)"/>
    <n v="8018383"/>
    <n v="2018"/>
    <x v="1"/>
    <x v="0"/>
    <x v="7"/>
    <x v="0"/>
    <d v="2025-06-04T00:00:00"/>
  </r>
  <r>
    <s v="1109 (F W)"/>
    <n v="8018173"/>
    <n v="2017"/>
    <x v="10"/>
    <x v="0"/>
    <x v="7"/>
    <x v="0"/>
    <d v="2025-07-12T00:00:00"/>
  </r>
  <r>
    <s v="1256 (M W)"/>
    <n v="8021529"/>
    <n v="2022"/>
    <x v="8"/>
    <x v="0"/>
    <x v="7"/>
    <x v="0"/>
    <d v="2025-03-11T00:00:00"/>
  </r>
  <r>
    <s v="15120 (F W)"/>
    <n v="8019259"/>
    <n v="2020"/>
    <x v="4"/>
    <x v="0"/>
    <x v="7"/>
    <x v="0"/>
    <d v="2025-05-16T00:00:00"/>
  </r>
  <r>
    <s v="15121 (F W)"/>
    <n v="8019258"/>
    <n v="2020"/>
    <x v="4"/>
    <x v="0"/>
    <x v="7"/>
    <x v="0"/>
    <d v="2025-04-04T00:00:00"/>
  </r>
  <r>
    <s v="17137 (F W)"/>
    <n v="8020822"/>
    <n v="2022"/>
    <x v="5"/>
    <x v="0"/>
    <x v="8"/>
    <x v="0"/>
    <d v="2025-02-25T00:00:00"/>
  </r>
  <r>
    <s v="17136 (F W)"/>
    <n v="8017251"/>
    <n v="2015"/>
    <x v="5"/>
    <x v="0"/>
    <x v="8"/>
    <x v="0"/>
    <d v="2025-07-24T00:00:00"/>
  </r>
  <r>
    <s v="16122 (F W)"/>
    <n v="8021171"/>
    <n v="2022"/>
    <x v="3"/>
    <x v="0"/>
    <x v="8"/>
    <x v="0"/>
    <d v="2025-07-07T00:00:00"/>
  </r>
  <r>
    <s v="13108 (M W)"/>
    <n v="8021532"/>
    <n v="2022"/>
    <x v="7"/>
    <x v="0"/>
    <x v="8"/>
    <x v="0"/>
    <d v="2025-02-16T00:00:00"/>
  </r>
  <r>
    <s v="1869 (F W)"/>
    <n v="8018154"/>
    <n v="2017"/>
    <x v="6"/>
    <x v="0"/>
    <x v="8"/>
    <x v="0"/>
    <d v="2024-11-13T00:00:00"/>
  </r>
  <r>
    <s v="1253 (F W)"/>
    <n v="8021185"/>
    <n v="2022"/>
    <x v="8"/>
    <x v="0"/>
    <x v="8"/>
    <x v="0"/>
    <d v="2025-06-21T00:00:00"/>
  </r>
  <r>
    <s v="1383 (F W)"/>
    <n v="8019236"/>
    <n v="2020"/>
    <x v="7"/>
    <x v="0"/>
    <x v="8"/>
    <x v="0"/>
    <d v="2025-07-20T00:00:00"/>
  </r>
  <r>
    <s v="1696 (F W)"/>
    <n v="8019253"/>
    <n v="2020"/>
    <x v="3"/>
    <x v="0"/>
    <x v="8"/>
    <x v="0"/>
    <d v="2025-04-29T00:00:00"/>
  </r>
  <r>
    <s v="1697 (F W)"/>
    <n v="8019252"/>
    <n v="2020"/>
    <x v="3"/>
    <x v="0"/>
    <x v="8"/>
    <x v="0"/>
    <d v="2025-08-20T00:00:00"/>
  </r>
  <r>
    <s v="1384 (F W)"/>
    <n v="8020931"/>
    <n v="2022"/>
    <x v="7"/>
    <x v="0"/>
    <x v="8"/>
    <x v="0"/>
    <d v="2025-05-22T00:00:00"/>
  </r>
  <r>
    <s v="2030 (F W)"/>
    <n v="8020972"/>
    <n v="2022"/>
    <x v="0"/>
    <x v="0"/>
    <x v="8"/>
    <x v="0"/>
    <d v="2025-05-28T00:00:00"/>
  </r>
  <r>
    <s v="16121 (F W)"/>
    <n v="8020821"/>
    <n v="2022"/>
    <x v="3"/>
    <x v="0"/>
    <x v="8"/>
    <x v="0"/>
    <d v="2025-09-30T00:00:00"/>
  </r>
  <r>
    <s v="1936 (F W)"/>
    <n v="8018382"/>
    <n v="2018"/>
    <x v="1"/>
    <x v="0"/>
    <x v="9"/>
    <x v="0"/>
    <d v="2024-10-12T00:00:00"/>
  </r>
  <r>
    <s v="1375 (M W)"/>
    <n v="8019102"/>
    <n v="2019"/>
    <x v="7"/>
    <x v="0"/>
    <x v="9"/>
    <x v="0"/>
    <d v="2025-07-13T00:00:00"/>
  </r>
  <r>
    <s v="2037 (M W)"/>
    <n v="8021546"/>
    <n v="2022"/>
    <x v="0"/>
    <x v="0"/>
    <x v="9"/>
    <x v="0"/>
    <d v="2024-12-03T00:00:00"/>
  </r>
  <r>
    <s v="2036 (M W)"/>
    <n v="8017209"/>
    <n v="2022"/>
    <x v="0"/>
    <x v="0"/>
    <x v="9"/>
    <x v="0"/>
    <d v="2024-12-02T00:00:00"/>
  </r>
  <r>
    <s v="2035 (M W)"/>
    <n v="8021550"/>
    <n v="2022"/>
    <x v="0"/>
    <x v="0"/>
    <x v="9"/>
    <x v="0"/>
    <d v="2025-01-05T00:00:00"/>
  </r>
  <r>
    <s v="1486 (F W)"/>
    <n v="8019243"/>
    <n v="2020"/>
    <x v="2"/>
    <x v="0"/>
    <x v="9"/>
    <x v="0"/>
    <d v="2025-05-27T00:00:00"/>
  </r>
  <r>
    <s v="1953 ( M F )"/>
    <n v="8020960"/>
    <n v="2022"/>
    <x v="1"/>
    <x v="0"/>
    <x v="9"/>
    <x v="0"/>
    <d v="2025-04-19T00:00:00"/>
  </r>
  <r>
    <s v="1941 (F W) "/>
    <n v="8017980"/>
    <n v="2017"/>
    <x v="1"/>
    <x v="0"/>
    <x v="9"/>
    <x v="0"/>
    <d v="2025-02-06T00:00:00"/>
  </r>
  <r>
    <s v="1257 (M W)"/>
    <n v="8021528"/>
    <n v="2022"/>
    <x v="8"/>
    <x v="0"/>
    <x v="9"/>
    <x v="0"/>
    <d v="2025-02-09T00:00:00"/>
  </r>
  <r>
    <s v="1876 (F W)"/>
    <n v="8021549"/>
    <n v="2015"/>
    <x v="6"/>
    <x v="0"/>
    <x v="9"/>
    <x v="0"/>
    <d v="2025-01-16T00:00:00"/>
  </r>
  <r>
    <s v="1395 (F W)"/>
    <n v="8020967"/>
    <n v="2022"/>
    <x v="7"/>
    <x v="0"/>
    <x v="9"/>
    <x v="0"/>
    <d v="2025-01-30T00:00:00"/>
  </r>
  <r>
    <s v="1684 (M W)"/>
    <n v="8017220"/>
    <n v="2015"/>
    <x v="3"/>
    <x v="0"/>
    <x v="9"/>
    <x v="0"/>
    <d v="2025-08-12T00:00:00"/>
  </r>
  <r>
    <s v="17132 (F W)"/>
    <n v="8020825"/>
    <n v="2022"/>
    <x v="5"/>
    <x v="0"/>
    <x v="10"/>
    <x v="0"/>
    <d v="2025-08-14T00:00:00"/>
  </r>
  <r>
    <s v="2039 (M W)"/>
    <n v="8021548"/>
    <n v="2022"/>
    <x v="0"/>
    <x v="0"/>
    <x v="10"/>
    <x v="0"/>
    <d v="2024-12-10T00:00:00"/>
  </r>
  <r>
    <s v="17133 (F W)"/>
    <n v="8020961"/>
    <n v="2022"/>
    <x v="5"/>
    <x v="0"/>
    <x v="10"/>
    <x v="0"/>
    <d v="2025-09-14T00:00:00"/>
  </r>
  <r>
    <s v="1894 (F W)"/>
    <n v="8020931"/>
    <n v="2022"/>
    <x v="6"/>
    <x v="0"/>
    <x v="10"/>
    <x v="0"/>
    <d v="2025-06-02T00:00:00"/>
  </r>
  <r>
    <s v="17130 (F W)"/>
    <n v="8020824"/>
    <n v="2022"/>
    <x v="5"/>
    <x v="0"/>
    <x v="10"/>
    <x v="0"/>
    <d v="2025-03-04T00:00:00"/>
  </r>
  <r>
    <s v="16102 (F W)"/>
    <n v="8017236"/>
    <n v="2015"/>
    <x v="3"/>
    <x v="0"/>
    <x v="10"/>
    <x v="0"/>
    <d v="2025-04-03T00:00:00"/>
  </r>
  <r>
    <s v="16118 (F W)"/>
    <n v="8020834"/>
    <n v="2022"/>
    <x v="3"/>
    <x v="0"/>
    <x v="10"/>
    <x v="0"/>
    <d v="2025-06-27T00:00:00"/>
  </r>
  <r>
    <s v="1954 (F W)"/>
    <n v="8020959"/>
    <n v="2022"/>
    <x v="1"/>
    <x v="0"/>
    <x v="10"/>
    <x v="0"/>
    <d v="2025-07-03T00:00:00"/>
  </r>
  <r>
    <s v="16119 (F W)"/>
    <n v="8020833"/>
    <n v="2022"/>
    <x v="3"/>
    <x v="0"/>
    <x v="10"/>
    <x v="0"/>
    <d v="2026-01-05T00:00:00"/>
  </r>
  <r>
    <s v="1890 (F W)"/>
    <n v="8020966"/>
    <n v="2022"/>
    <x v="6"/>
    <x v="0"/>
    <x v="10"/>
    <x v="0"/>
    <d v="2025-06-09T00:00:00"/>
  </r>
  <r>
    <s v="1895 (F W)"/>
    <n v="8020955"/>
    <n v="2022"/>
    <x v="6"/>
    <x v="0"/>
    <x v="10"/>
    <x v="0"/>
    <d v="2025-05-20T00:00:00"/>
  </r>
  <r>
    <s v="1892 (F W)"/>
    <n v="8020979"/>
    <n v="2022"/>
    <x v="6"/>
    <x v="0"/>
    <x v="10"/>
    <x v="0"/>
    <d v="2024-10-15T00:00:00"/>
  </r>
  <r>
    <s v="17129 (F W)"/>
    <n v="8020962"/>
    <n v="2022"/>
    <x v="5"/>
    <x v="0"/>
    <x v="11"/>
    <x v="0"/>
    <d v="2025-07-05T00:00:00"/>
  </r>
  <r>
    <s v="17134 (F W)"/>
    <n v="8020956"/>
    <n v="2022"/>
    <x v="5"/>
    <x v="0"/>
    <x v="11"/>
    <x v="0"/>
    <d v="2025-07-22T00:00:00"/>
  </r>
  <r>
    <s v="17135 (F W)"/>
    <n v="8020957"/>
    <n v="2022"/>
    <x v="5"/>
    <x v="0"/>
    <x v="11"/>
    <x v="0"/>
    <d v="2025-07-18T00:00:00"/>
  </r>
  <r>
    <s v="1889 (F W)"/>
    <n v="8020964"/>
    <n v="2022"/>
    <x v="6"/>
    <x v="0"/>
    <x v="11"/>
    <x v="0"/>
    <d v="2025-08-25T00:00:00"/>
  </r>
  <r>
    <s v="1686 (M S)"/>
    <n v="8018389"/>
    <n v="2018"/>
    <x v="3"/>
    <x v="0"/>
    <x v="11"/>
    <x v="0"/>
    <d v="2025-05-03T00:00:00"/>
  </r>
  <r>
    <s v="21TR02 (M S)"/>
    <n v="8021022"/>
    <n v="2022"/>
    <x v="11"/>
    <x v="3"/>
    <x v="11"/>
    <x v="0"/>
    <d v="2025-03-03T00:00:00"/>
  </r>
  <r>
    <s v="1938 (F W)"/>
    <n v="8018157"/>
    <n v="2017"/>
    <x v="1"/>
    <x v="0"/>
    <x v="11"/>
    <x v="0"/>
    <d v="2025-02-18T00:00:00"/>
  </r>
  <r>
    <s v="16101 (F W)"/>
    <n v="8017235"/>
    <n v="2015"/>
    <x v="3"/>
    <x v="0"/>
    <x v="11"/>
    <x v="0"/>
    <d v="2025-07-26T00:00:00"/>
  </r>
  <r>
    <s v="2114 (F W)"/>
    <n v="8017434"/>
    <n v="2015"/>
    <x v="11"/>
    <x v="0"/>
    <x v="11"/>
    <x v="0"/>
    <d v="2025-01-13T00:00:00"/>
  </r>
  <r>
    <s v="1786 (F W)"/>
    <n v="8017967"/>
    <n v="2017"/>
    <x v="5"/>
    <x v="0"/>
    <x v="11"/>
    <x v="0"/>
    <d v="2025-06-19T00:00:00"/>
  </r>
  <r>
    <s v="15125 (M S)"/>
    <n v="8018708"/>
    <n v="2018"/>
    <x v="4"/>
    <x v="0"/>
    <x v="11"/>
    <x v="0"/>
    <d v="2025-04-26T00:00:00"/>
  </r>
  <r>
    <s v="20-New"/>
    <n v="8023096"/>
    <n v="2025"/>
    <x v="0"/>
    <x v="3"/>
    <x v="11"/>
    <x v="0"/>
    <m/>
  </r>
  <r>
    <s v="1495 (F S)"/>
    <n v="8015912"/>
    <n v="2013"/>
    <x v="2"/>
    <x v="1"/>
    <x v="12"/>
    <x v="0"/>
    <d v="2025-10-01T00:00:00"/>
  </r>
  <r>
    <s v="17122 (F S)"/>
    <n v="8015605"/>
    <n v="2013"/>
    <x v="5"/>
    <x v="1"/>
    <x v="12"/>
    <x v="0"/>
    <d v="2025-01-04T00:00:00"/>
  </r>
  <r>
    <s v="1250 (H M S)"/>
    <n v="8013376"/>
    <n v="2010"/>
    <x v="8"/>
    <x v="1"/>
    <x v="12"/>
    <x v="0"/>
    <d v="2024-11-24T00:00:00"/>
  </r>
  <r>
    <s v="17121 (F S)"/>
    <n v="8009105"/>
    <n v="2005"/>
    <x v="5"/>
    <x v="2"/>
    <x v="12"/>
    <x v="0"/>
    <d v="2025-09-27T00:00:00"/>
  </r>
  <r>
    <s v="1948 (F S)"/>
    <s v="8045967/8015967"/>
    <n v="2013"/>
    <x v="1"/>
    <x v="1"/>
    <x v="12"/>
    <x v="0"/>
    <d v="2025-03-06T00:00:00"/>
  </r>
  <r>
    <s v="2027 (F S)"/>
    <n v="8016046"/>
    <n v="2013"/>
    <x v="0"/>
    <x v="1"/>
    <x v="12"/>
    <x v="0"/>
    <d v="2025-03-15T00:00:00"/>
  </r>
  <r>
    <s v="1888 (M S)"/>
    <n v="8017110"/>
    <n v="2015"/>
    <x v="6"/>
    <x v="1"/>
    <x v="12"/>
    <x v="0"/>
    <m/>
  </r>
  <r>
    <s v="15138 (H M S)"/>
    <n v="8013487"/>
    <n v="2010"/>
    <x v="4"/>
    <x v="1"/>
    <x v="12"/>
    <x v="0"/>
    <d v="2025-09-20T00:00:00"/>
  </r>
  <r>
    <s v="16112 (F S)"/>
    <n v="8015602"/>
    <n v="2013"/>
    <x v="3"/>
    <x v="1"/>
    <x v="12"/>
    <x v="0"/>
    <d v="2025-03-27T00:00:00"/>
  </r>
  <r>
    <s v="1949 (M S)"/>
    <n v="8017120"/>
    <n v="2015"/>
    <x v="1"/>
    <x v="1"/>
    <x v="12"/>
    <x v="0"/>
    <d v="2024-09-12T00:00:00"/>
  </r>
  <r>
    <s v="1249 (H F S)"/>
    <n v="8014332"/>
    <n v="2011"/>
    <x v="8"/>
    <x v="1"/>
    <x v="12"/>
    <x v="0"/>
    <d v="2025-02-20T00:00:00"/>
  </r>
  <r>
    <n v="16113"/>
    <n v="8015275"/>
    <n v="2012"/>
    <x v="3"/>
    <x v="1"/>
    <x v="12"/>
    <x v="0"/>
    <d v="2024-11-20T00:00:00"/>
  </r>
  <r>
    <s v="14104 (F S)"/>
    <n v="8015607"/>
    <n v="2013"/>
    <x v="2"/>
    <x v="1"/>
    <x v="13"/>
    <x v="0"/>
    <d v="2025-02-21T00:00:00"/>
  </r>
  <r>
    <s v="1886 (F S)"/>
    <n v="8016147"/>
    <n v="2013"/>
    <x v="6"/>
    <x v="1"/>
    <x v="13"/>
    <x v="0"/>
    <d v="2024-11-01T00:00:00"/>
  </r>
  <r>
    <s v="1887 (M S)"/>
    <n v="8017121"/>
    <n v="2015"/>
    <x v="6"/>
    <x v="1"/>
    <x v="13"/>
    <x v="0"/>
    <d v="2025-06-15T00:00:00"/>
  </r>
  <r>
    <s v="15134 (M S)"/>
    <n v="8010004"/>
    <n v="2005"/>
    <x v="4"/>
    <x v="2"/>
    <x v="13"/>
    <x v="0"/>
    <d v="2025-02-13T00:00:00"/>
  </r>
  <r>
    <s v="1248 (F S)"/>
    <n v="8015965"/>
    <n v="2013"/>
    <x v="8"/>
    <x v="1"/>
    <x v="13"/>
    <x v="0"/>
    <d v="2025-04-10T00:00:00"/>
  </r>
  <r>
    <s v="1950 (M S)"/>
    <n v="8017111"/>
    <n v="2015"/>
    <x v="1"/>
    <x v="1"/>
    <x v="13"/>
    <x v="0"/>
    <d v="2025-04-17T00:00:00"/>
  </r>
  <r>
    <s v="14103 (F S)"/>
    <n v="8015915"/>
    <n v="2013"/>
    <x v="2"/>
    <x v="1"/>
    <x v="13"/>
    <x v="0"/>
    <d v="2025-10-09T00:00:00"/>
  </r>
  <r>
    <s v="15140 (F W)"/>
    <n v="8005943"/>
    <n v="2003"/>
    <x v="4"/>
    <x v="2"/>
    <x v="13"/>
    <x v="0"/>
    <d v="2025-02-12T00:00:00"/>
  </r>
  <r>
    <s v="1390 (F S)"/>
    <n v="8015279"/>
    <n v="2012"/>
    <x v="7"/>
    <x v="1"/>
    <x v="13"/>
    <x v="0"/>
    <d v="2025-03-10T00:00:00"/>
  </r>
  <r>
    <s v="1885 (M W)"/>
    <n v="8010098"/>
    <n v="2006"/>
    <x v="6"/>
    <x v="2"/>
    <x v="13"/>
    <x v="0"/>
    <d v="2025-01-14T00:00:00"/>
  </r>
  <r>
    <s v="1335 (H F S)"/>
    <n v="8014545"/>
    <n v="2011"/>
    <x v="7"/>
    <x v="1"/>
    <x v="13"/>
    <x v="0"/>
    <d v="2025-01-29T00:00:00"/>
  </r>
  <r>
    <s v="16111 (M S) "/>
    <n v="8016673"/>
    <n v="2014"/>
    <x v="3"/>
    <x v="1"/>
    <x v="13"/>
    <x v="0"/>
    <d v="2025-10-05T00:00:00"/>
  </r>
  <r>
    <s v="16127 (M S)"/>
    <n v="8016666"/>
    <n v="2014"/>
    <x v="3"/>
    <x v="1"/>
    <x v="14"/>
    <x v="0"/>
    <d v="2026-01-05T00:00:00"/>
  </r>
  <r>
    <s v="16115 (F S)"/>
    <n v="8016424"/>
    <n v="2014"/>
    <x v="3"/>
    <x v="1"/>
    <x v="14"/>
    <x v="0"/>
    <d v="2025-02-18T00:00:00"/>
  </r>
  <r>
    <s v="17124 (F S)"/>
    <n v="8015488"/>
    <n v="2012"/>
    <x v="5"/>
    <x v="1"/>
    <x v="14"/>
    <x v="0"/>
    <d v="2025-06-07T00:00:00"/>
  </r>
  <r>
    <s v="1391 (F S)"/>
    <n v="8016058"/>
    <n v="2013"/>
    <x v="7"/>
    <x v="1"/>
    <x v="14"/>
    <x v="0"/>
    <d v="2025-03-22T00:00:00"/>
  </r>
  <r>
    <s v="17123 (F S)"/>
    <n v="8015966"/>
    <n v="2013"/>
    <x v="5"/>
    <x v="1"/>
    <x v="14"/>
    <x v="0"/>
    <d v="2025-07-09T00:00:00"/>
  </r>
  <r>
    <s v="1262 (M W)"/>
    <n v="8018402"/>
    <n v="2018"/>
    <x v="8"/>
    <x v="0"/>
    <x v="14"/>
    <x v="0"/>
    <d v="2024-06-25T00:00:00"/>
  </r>
  <r>
    <s v="15133 (M S)"/>
    <n v="8010005"/>
    <n v="2005"/>
    <x v="4"/>
    <x v="2"/>
    <x v="14"/>
    <x v="0"/>
    <d v="2025-10-07T00:00:00"/>
  </r>
  <r>
    <s v="16126 (F S)"/>
    <n v="8016060"/>
    <n v="2013"/>
    <x v="3"/>
    <x v="1"/>
    <x v="14"/>
    <x v="0"/>
    <d v="2025-10-17T00:00:00"/>
  </r>
  <r>
    <s v="1884 (F S)"/>
    <n v="8015734"/>
    <n v="2013"/>
    <x v="6"/>
    <x v="1"/>
    <x v="14"/>
    <x v="0"/>
    <d v="2026-01-05T00:00:00"/>
  </r>
  <r>
    <s v="15137 (M W)"/>
    <n v="8007507"/>
    <n v="2005"/>
    <x v="4"/>
    <x v="2"/>
    <x v="14"/>
    <x v="0"/>
    <d v="2025-10-03T00:00:00"/>
  </r>
  <r>
    <s v="2106 (F W)"/>
    <n v="8020937"/>
    <n v="2022"/>
    <x v="11"/>
    <x v="0"/>
    <x v="14"/>
    <x v="0"/>
    <d v="2025-06-30T00:00:00"/>
  </r>
  <r>
    <s v="1258 (M W)"/>
    <n v="8018810"/>
    <n v="2019"/>
    <x v="8"/>
    <x v="0"/>
    <x v="14"/>
    <x v="0"/>
    <d v="2024-08-26T00:00:00"/>
  </r>
  <r>
    <s v="20TR04 (M W)"/>
    <n v="8021605"/>
    <n v="2022"/>
    <x v="0"/>
    <x v="3"/>
    <x v="15"/>
    <x v="0"/>
    <d v="2024-11-26T00:00:00"/>
  </r>
  <r>
    <s v="18TR16 (M S)"/>
    <n v="8018797"/>
    <n v="2019"/>
    <x v="6"/>
    <x v="4"/>
    <x v="15"/>
    <x v="0"/>
    <d v="2025-05-17T00:00:00"/>
  </r>
  <r>
    <s v="22TR01 (MW)"/>
    <n v="8023098"/>
    <n v="2025"/>
    <x v="9"/>
    <x v="3"/>
    <x v="15"/>
    <x v="0"/>
    <m/>
  </r>
  <r>
    <s v="16TR19 (M S)"/>
    <n v="8018726"/>
    <n v="2018"/>
    <x v="3"/>
    <x v="4"/>
    <x v="15"/>
    <x v="0"/>
    <d v="2025-03-04T00:00:00"/>
  </r>
  <r>
    <s v="19TR10 (M W)"/>
    <n v="8021604"/>
    <n v="2022"/>
    <x v="1"/>
    <x v="3"/>
    <x v="15"/>
    <x v="0"/>
    <d v="2025-06-22T00:00:00"/>
  </r>
  <r>
    <s v="19TR08 (M S)"/>
    <n v="8019089"/>
    <n v="2019"/>
    <x v="1"/>
    <x v="4"/>
    <x v="15"/>
    <x v="0"/>
    <m/>
  </r>
  <r>
    <s v="14TR12 (M W)"/>
    <n v="8021564"/>
    <n v="2022"/>
    <x v="2"/>
    <x v="3"/>
    <x v="15"/>
    <x v="0"/>
    <d v="2025-02-01T00:00:00"/>
  </r>
  <r>
    <s v="14TR08 (M S)"/>
    <n v="8017706"/>
    <n v="2016"/>
    <x v="2"/>
    <x v="4"/>
    <x v="15"/>
    <x v="0"/>
    <d v="2025-05-23T00:00:00"/>
  </r>
  <r>
    <s v="16TR10 (M S)"/>
    <n v="8018198"/>
    <n v="2017"/>
    <x v="3"/>
    <x v="4"/>
    <x v="15"/>
    <x v="0"/>
    <d v="2025-06-29T00:00:00"/>
  </r>
  <r>
    <s v="14TR07 (M S)"/>
    <n v="8017180"/>
    <n v="2015"/>
    <x v="2"/>
    <x v="4"/>
    <x v="15"/>
    <x v="0"/>
    <d v="2025-03-12T00:00:00"/>
  </r>
  <r>
    <s v="15TR20 (M W)"/>
    <n v="8021568"/>
    <n v="2022"/>
    <x v="4"/>
    <x v="3"/>
    <x v="15"/>
    <x v="0"/>
    <d v="2025-02-05T00:00:00"/>
  </r>
  <r>
    <s v="15TR19 (M W)"/>
    <n v="8021566"/>
    <n v="2022"/>
    <x v="4"/>
    <x v="3"/>
    <x v="15"/>
    <x v="0"/>
    <d v="2025-02-05T00:00:00"/>
  </r>
  <r>
    <s v="16TR16 (M S)"/>
    <n v="8018199"/>
    <n v="2017"/>
    <x v="3"/>
    <x v="4"/>
    <x v="16"/>
    <x v="0"/>
    <d v="2024-11-28T00:00:00"/>
  </r>
  <r>
    <s v="15TR15 (M S)"/>
    <n v="8017659"/>
    <n v="2016"/>
    <x v="4"/>
    <x v="4"/>
    <x v="16"/>
    <x v="0"/>
    <d v="2025-08-09T00:00:00"/>
  </r>
  <r>
    <s v="17TR14 (M S)"/>
    <n v="8017827"/>
    <n v="2016"/>
    <x v="5"/>
    <x v="4"/>
    <x v="16"/>
    <x v="0"/>
    <d v="2026-01-06T00:00:00"/>
  </r>
  <r>
    <s v="17TR13 (M S)"/>
    <n v="8017826"/>
    <n v="2016"/>
    <x v="5"/>
    <x v="4"/>
    <x v="16"/>
    <x v="0"/>
    <d v="2024-11-05T00:00:00"/>
  </r>
  <r>
    <s v="18TR13 (F S)"/>
    <n v="8017100"/>
    <n v="2015"/>
    <x v="6"/>
    <x v="4"/>
    <x v="16"/>
    <x v="0"/>
    <d v="2024-10-29T00:00:00"/>
  </r>
  <r>
    <s v="16TR14 (M S)"/>
    <n v="8017837"/>
    <n v="2016"/>
    <x v="3"/>
    <x v="4"/>
    <x v="16"/>
    <x v="0"/>
    <d v="2025-08-13T00:00:00"/>
  </r>
  <r>
    <s v="18TR10 (M S)"/>
    <n v="8018232"/>
    <n v="2017"/>
    <x v="6"/>
    <x v="4"/>
    <x v="16"/>
    <x v="0"/>
    <d v="2025-10-06T00:00:00"/>
  </r>
  <r>
    <s v="19TR07 (M S)"/>
    <n v="8017877"/>
    <n v="2016"/>
    <x v="1"/>
    <x v="4"/>
    <x v="16"/>
    <x v="0"/>
    <d v="2025-01-05T00:00:00"/>
  </r>
  <r>
    <s v="17TR18 (M S)"/>
    <n v="8018821"/>
    <n v="2019"/>
    <x v="5"/>
    <x v="4"/>
    <x v="16"/>
    <x v="0"/>
    <d v="2026-01-05T00:00:00"/>
  </r>
  <r>
    <s v="16TR15 (M S)"/>
    <n v="8018799"/>
    <n v="2019"/>
    <x v="3"/>
    <x v="4"/>
    <x v="16"/>
    <x v="0"/>
    <d v="2026-01-03T00:00:00"/>
  </r>
  <r>
    <s v="16TR18 (M S)"/>
    <n v="8018673"/>
    <n v="2018"/>
    <x v="3"/>
    <x v="4"/>
    <x v="16"/>
    <x v="0"/>
    <d v="2025-05-25T00:00:00"/>
  </r>
  <r>
    <s v="20TR02 (M S)"/>
    <n v="8018742"/>
    <n v="2018"/>
    <x v="0"/>
    <x v="4"/>
    <x v="16"/>
    <x v="0"/>
    <d v="2024-11-10T00:00:00"/>
  </r>
  <r>
    <s v="17TR19 (M S)"/>
    <n v="8018732"/>
    <n v="2018"/>
    <x v="5"/>
    <x v="4"/>
    <x v="17"/>
    <x v="0"/>
    <d v="2024-11-09T00:00:00"/>
  </r>
  <r>
    <s v="19-New"/>
    <n v="8023095"/>
    <n v="2025"/>
    <x v="1"/>
    <x v="3"/>
    <x v="17"/>
    <x v="0"/>
    <m/>
  </r>
  <r>
    <s v="14TR11 (M S)"/>
    <n v="8018737"/>
    <n v="2018"/>
    <x v="2"/>
    <x v="4"/>
    <x v="17"/>
    <x v="0"/>
    <d v="2025-09-16T00:00:00"/>
  </r>
  <r>
    <s v="19TR09 (M S)"/>
    <n v="8018240"/>
    <n v="2017"/>
    <x v="1"/>
    <x v="4"/>
    <x v="17"/>
    <x v="0"/>
    <d v="2025-05-13T00:00:00"/>
  </r>
  <r>
    <s v="14TR10 (M S)"/>
    <n v="8018736"/>
    <n v="2018"/>
    <x v="2"/>
    <x v="4"/>
    <x v="17"/>
    <x v="0"/>
    <d v="2024-11-18T00:00:00"/>
  </r>
  <r>
    <s v="19TR11 (M S)"/>
    <n v="8018236"/>
    <n v="2017"/>
    <x v="1"/>
    <x v="4"/>
    <x v="17"/>
    <x v="0"/>
    <d v="2025-05-14T00:00:00"/>
  </r>
  <r>
    <s v="18TR15 (M S)"/>
    <n v="80188798"/>
    <n v="2019"/>
    <x v="6"/>
    <x v="4"/>
    <x v="17"/>
    <x v="0"/>
    <d v="2025-06-26T00:00:00"/>
  </r>
  <r>
    <s v="20TR03 (M S)"/>
    <n v="8019070"/>
    <n v="2019"/>
    <x v="0"/>
    <x v="4"/>
    <x v="17"/>
    <x v="0"/>
    <d v="2025-08-05T00:00:00"/>
  </r>
  <r>
    <s v="15TR13 (M S)"/>
    <n v="8018674"/>
    <n v="2018"/>
    <x v="4"/>
    <x v="4"/>
    <x v="17"/>
    <x v="0"/>
    <d v="2025-09-02T00:00:00"/>
  </r>
  <r>
    <s v="15TR10 (M S)"/>
    <n v="8018249"/>
    <n v="2017"/>
    <x v="4"/>
    <x v="4"/>
    <x v="17"/>
    <x v="0"/>
    <d v="2024-11-25T00:00:00"/>
  </r>
  <r>
    <s v="15TR14 (M S)"/>
    <n v="8018739"/>
    <n v="2018"/>
    <x v="4"/>
    <x v="4"/>
    <x v="17"/>
    <x v="0"/>
    <d v="2025-09-13T00:00:00"/>
  </r>
  <r>
    <s v="17TR20 (M S)"/>
    <n v="8018731"/>
    <n v="2018"/>
    <x v="5"/>
    <x v="4"/>
    <x v="17"/>
    <x v="0"/>
    <d v="2024-11-21T00:00:00"/>
  </r>
  <r>
    <s v="14TR09 (M S)"/>
    <n v="8018241"/>
    <n v="2017"/>
    <x v="2"/>
    <x v="4"/>
    <x v="18"/>
    <x v="0"/>
    <d v="2025-08-21T00:00:00"/>
  </r>
  <r>
    <s v="18TR19 (M S)"/>
    <n v="8018238"/>
    <n v="2017"/>
    <x v="6"/>
    <x v="4"/>
    <x v="18"/>
    <x v="0"/>
    <d v="2026-01-05T00:00:00"/>
  </r>
  <r>
    <s v="1955 (F W)"/>
    <n v="8020970"/>
    <n v="2022"/>
    <x v="1"/>
    <x v="0"/>
    <x v="18"/>
    <x v="0"/>
    <d v="2025-08-19T00:00:00"/>
  </r>
  <r>
    <s v="1489 (M W)"/>
    <n v="8019240"/>
    <n v="2020"/>
    <x v="2"/>
    <x v="0"/>
    <x v="18"/>
    <x v="0"/>
    <d v="2025-07-08T00:00:00"/>
  </r>
  <r>
    <s v="1783 (F W)"/>
    <n v="8017263"/>
    <n v="2015"/>
    <x v="5"/>
    <x v="0"/>
    <x v="18"/>
    <x v="0"/>
    <d v="2024-11-11T00:00:00"/>
  </r>
  <r>
    <s v="16TR23 (M S)"/>
    <n v="8018727"/>
    <n v="2018"/>
    <x v="3"/>
    <x v="4"/>
    <x v="18"/>
    <x v="0"/>
    <d v="2025-09-01T00:00:00"/>
  </r>
  <r>
    <s v="17TR17 (M S)"/>
    <n v="8018820"/>
    <n v="2019"/>
    <x v="5"/>
    <x v="4"/>
    <x v="18"/>
    <x v="0"/>
    <d v="2025-03-18T00:00:00"/>
  </r>
  <r>
    <s v="14TR13 (M W)"/>
    <n v="8021565"/>
    <n v="2022"/>
    <x v="2"/>
    <x v="3"/>
    <x v="18"/>
    <x v="0"/>
    <d v="2026-01-02T00:00:00"/>
  </r>
  <r>
    <s v="15TR11 (M S)"/>
    <n v="8018646"/>
    <n v="2018"/>
    <x v="4"/>
    <x v="4"/>
    <x v="18"/>
    <x v="0"/>
    <d v="2024-11-12T00:00:00"/>
  </r>
  <r>
    <s v="2028 (M W)"/>
    <n v="8007813"/>
    <n v="2006"/>
    <x v="0"/>
    <x v="2"/>
    <x v="18"/>
    <x v="0"/>
    <d v="2024-12-30T00:00:00"/>
  </r>
  <r>
    <m/>
    <n v="8021598"/>
    <m/>
    <x v="3"/>
    <x v="3"/>
    <x v="18"/>
    <x v="0"/>
    <m/>
  </r>
  <r>
    <n v="2111"/>
    <n v="8018069"/>
    <n v="2017"/>
    <x v="11"/>
    <x v="0"/>
    <x v="18"/>
    <x v="0"/>
    <d v="2024-12-23T00:00:00"/>
  </r>
  <r>
    <s v="15New01 (M W)"/>
    <n v="8020835"/>
    <n v="2022"/>
    <x v="4"/>
    <x v="0"/>
    <x v="19"/>
    <x v="0"/>
    <d v="2025-08-06T00:00:00"/>
  </r>
  <r>
    <s v="2206 (M W)"/>
    <n v="8022683"/>
    <n v="2024"/>
    <x v="9"/>
    <x v="0"/>
    <x v="19"/>
    <x v="0"/>
    <d v="2024-12-01T00:00:00"/>
  </r>
  <r>
    <s v="1493 (F W)"/>
    <n v="8017223"/>
    <n v="2015"/>
    <x v="2"/>
    <x v="0"/>
    <x v="19"/>
    <x v="0"/>
    <d v="2025-09-29T00:00:00"/>
  </r>
  <r>
    <s v="1490 (F W)"/>
    <n v="8019245"/>
    <n v="2020"/>
    <x v="2"/>
    <x v="0"/>
    <x v="19"/>
    <x v="0"/>
    <d v="2025-06-25T00:00:00"/>
  </r>
  <r>
    <s v="1255 (M W)"/>
    <n v="8021530"/>
    <n v="2022"/>
    <x v="8"/>
    <x v="0"/>
    <x v="19"/>
    <x v="0"/>
    <d v="2025-04-01T00:00:00"/>
  </r>
  <r>
    <s v="1342 (M W)"/>
    <n v="8015764"/>
    <n v="2013"/>
    <x v="7"/>
    <x v="1"/>
    <x v="19"/>
    <x v="0"/>
    <d v="2025-03-20T00:00:00"/>
  </r>
  <r>
    <s v="2026(18new) (F S)"/>
    <n v="8015634"/>
    <n v="2013"/>
    <x v="6"/>
    <x v="1"/>
    <x v="19"/>
    <x v="0"/>
    <d v="2025-07-27T00:00:00"/>
  </r>
  <r>
    <s v="15117 (M W)"/>
    <n v="8018415"/>
    <n v="2010"/>
    <x v="4"/>
    <x v="0"/>
    <x v="19"/>
    <x v="0"/>
    <d v="2024-11-04T00:00:00"/>
  </r>
  <r>
    <s v="1896 (F W)"/>
    <n v="8020963"/>
    <n v="2022"/>
    <x v="6"/>
    <x v="0"/>
    <x v="19"/>
    <x v="0"/>
    <d v="2025-02-15T00:00:00"/>
  </r>
  <r>
    <s v="1396 (M W)"/>
    <n v="8020818"/>
    <n v="2022"/>
    <x v="7"/>
    <x v="0"/>
    <x v="19"/>
    <x v="0"/>
    <d v="2025-06-24T00:00:00"/>
  </r>
  <r>
    <m/>
    <n v="8021600"/>
    <m/>
    <x v="3"/>
    <x v="3"/>
    <x v="19"/>
    <x v="0"/>
    <m/>
  </r>
  <r>
    <s v="1471 (M W)"/>
    <n v="8019091"/>
    <n v="2019"/>
    <x v="2"/>
    <x v="0"/>
    <x v="19"/>
    <x v="0"/>
    <d v="2025-01-27T00:00:00"/>
  </r>
  <r>
    <s v="1474 (M W)"/>
    <n v="8019110"/>
    <n v="2019"/>
    <x v="2"/>
    <x v="0"/>
    <x v="20"/>
    <x v="0"/>
    <d v="2025-04-26T00:00:00"/>
  </r>
  <r>
    <s v="17TR16 (M S)"/>
    <n v="8016492"/>
    <n v="2014"/>
    <x v="5"/>
    <x v="4"/>
    <x v="20"/>
    <x v="0"/>
    <m/>
  </r>
  <r>
    <s v="1868 (F W)"/>
    <n v="8018167"/>
    <n v="2017"/>
    <x v="6"/>
    <x v="0"/>
    <x v="20"/>
    <x v="0"/>
    <d v="2025-05-06T00:00:00"/>
  </r>
  <r>
    <s v="1775 (M W)"/>
    <n v="8006180"/>
    <n v="2003"/>
    <x v="5"/>
    <x v="2"/>
    <x v="20"/>
    <x v="0"/>
    <m/>
  </r>
  <r>
    <s v="15TR17 (M W)"/>
    <n v="8021254"/>
    <n v="2022"/>
    <x v="4"/>
    <x v="3"/>
    <x v="20"/>
    <x v="0"/>
    <d v="2025-03-03T00:00:00"/>
  </r>
  <r>
    <s v="18TR14 (M S)"/>
    <n v="8019087"/>
    <n v="2019"/>
    <x v="6"/>
    <x v="4"/>
    <x v="20"/>
    <x v="0"/>
    <d v="2025-06-05T00:00:00"/>
  </r>
  <r>
    <s v="18TR18 (M S)"/>
    <n v="8018738"/>
    <n v="2018"/>
    <x v="6"/>
    <x v="4"/>
    <x v="20"/>
    <x v="0"/>
    <d v="2025-01-29T00:00:00"/>
  </r>
  <r>
    <s v="17TR21 (F S)"/>
    <n v="8018010"/>
    <n v="2017"/>
    <x v="5"/>
    <x v="4"/>
    <x v="20"/>
    <x v="0"/>
    <d v="2023-07-10T00:00:00"/>
  </r>
  <r>
    <s v="15136 (F W)"/>
    <n v="8006938"/>
    <n v="2003"/>
    <x v="4"/>
    <x v="2"/>
    <x v="20"/>
    <x v="0"/>
    <d v="2025-05-07T00:00:00"/>
  </r>
  <r>
    <s v="18TR20 (M S)"/>
    <n v="8019086"/>
    <n v="2019"/>
    <x v="6"/>
    <x v="4"/>
    <x v="20"/>
    <x v="0"/>
    <d v="2025-09-07T00:00:00"/>
  </r>
  <r>
    <s v="21TR03 (M W)"/>
    <n v="8023097"/>
    <n v="2025"/>
    <x v="11"/>
    <x v="3"/>
    <x v="20"/>
    <x v="0"/>
    <m/>
  </r>
  <r>
    <s v="1389 (M W)"/>
    <n v="8008484"/>
    <n v="2004"/>
    <x v="7"/>
    <x v="2"/>
    <x v="20"/>
    <x v="0"/>
    <d v="2025-02-23T00:00:00"/>
  </r>
  <r>
    <s v="17131 (F W)"/>
    <n v="8020958"/>
    <n v="2022"/>
    <x v="5"/>
    <x v="0"/>
    <x v="21"/>
    <x v="0"/>
    <d v="2025-04-23T00:00:00"/>
  </r>
  <r>
    <s v="16D03 (F S)"/>
    <n v="8016042"/>
    <n v="2013"/>
    <x v="3"/>
    <x v="1"/>
    <x v="21"/>
    <x v="0"/>
    <d v="2025-08-18T00:00:00"/>
  </r>
  <r>
    <s v="1940 (M W)"/>
    <n v="8018464"/>
    <n v="2018"/>
    <x v="1"/>
    <x v="0"/>
    <x v="21"/>
    <x v="0"/>
    <d v="2025-03-08T00:00:00"/>
  </r>
  <r>
    <s v="1467 (F W)"/>
    <n v="8019109"/>
    <n v="2017"/>
    <x v="2"/>
    <x v="0"/>
    <x v="21"/>
    <x v="0"/>
    <d v="2024-12-25T00:00:00"/>
  </r>
  <r>
    <m/>
    <n v="8021603"/>
    <n v="2022"/>
    <x v="6"/>
    <x v="3"/>
    <x v="21"/>
    <x v="0"/>
    <m/>
  </r>
  <r>
    <s v="1432 (M W)"/>
    <s v="8009468)"/>
    <n v="2006"/>
    <x v="2"/>
    <x v="2"/>
    <x v="21"/>
    <x v="0"/>
    <d v="2024-05-26T00:00:00"/>
  </r>
  <r>
    <s v="2007(18New02) (M W)"/>
    <n v="8019013"/>
    <n v="2019"/>
    <x v="6"/>
    <x v="0"/>
    <x v="21"/>
    <x v="0"/>
    <d v="2025-01-20T00:00:00"/>
  </r>
  <r>
    <s v="1785 (F S)"/>
    <n v="8017250"/>
    <n v="2015"/>
    <x v="5"/>
    <x v="0"/>
    <x v="21"/>
    <x v="0"/>
    <d v="2025-07-17T00:00:00"/>
  </r>
  <r>
    <s v="2038 (M W)"/>
    <n v="8021547"/>
    <n v="2022"/>
    <x v="0"/>
    <x v="0"/>
    <x v="21"/>
    <x v="0"/>
    <d v="2024-12-07T00:00:00"/>
  </r>
  <r>
    <s v="1476 (M E)"/>
    <n v="8017960"/>
    <n v="2019"/>
    <x v="2"/>
    <x v="0"/>
    <x v="21"/>
    <x v="0"/>
    <d v="2025-03-29T00:00:00"/>
  </r>
  <r>
    <s v="1866 (F W)"/>
    <n v="8018397"/>
    <n v="2010"/>
    <x v="6"/>
    <x v="0"/>
    <x v="21"/>
    <x v="0"/>
    <d v="2025-06-12T00:00:00"/>
  </r>
  <r>
    <s v="1965 (M W)"/>
    <n v="8021542"/>
    <n v="2022"/>
    <x v="1"/>
    <x v="0"/>
    <x v="21"/>
    <x v="0"/>
    <d v="2025-08-07T00:00:00"/>
  </r>
  <r>
    <s v="15141 (F W)"/>
    <n v="8009101"/>
    <n v="2005"/>
    <x v="4"/>
    <x v="2"/>
    <x v="22"/>
    <x v="0"/>
    <d v="2025-01-28T00:00:00"/>
  </r>
  <r>
    <n v="1606"/>
    <n v="8021262"/>
    <n v="2022"/>
    <x v="3"/>
    <x v="0"/>
    <x v="22"/>
    <x v="0"/>
    <d v="2023-06-29T00:00:00"/>
  </r>
  <r>
    <s v="14106 (M W)"/>
    <n v="8019113"/>
    <n v="2019"/>
    <x v="2"/>
    <x v="0"/>
    <x v="22"/>
    <x v="0"/>
    <d v="2025-05-09T00:00:00"/>
  </r>
  <r>
    <s v="1376 (M W)"/>
    <n v="8019103"/>
    <n v="2019"/>
    <x v="7"/>
    <x v="0"/>
    <x v="22"/>
    <x v="0"/>
    <d v="2025-08-24T00:00:00"/>
  </r>
  <r>
    <m/>
    <n v="8021601"/>
    <n v="2022"/>
    <x v="5"/>
    <x v="3"/>
    <x v="22"/>
    <x v="0"/>
    <m/>
  </r>
  <r>
    <m/>
    <n v="8021602"/>
    <n v="2022"/>
    <x v="5"/>
    <x v="3"/>
    <x v="22"/>
    <x v="0"/>
    <m/>
  </r>
  <r>
    <s v="15139 (M S) "/>
    <n v="8009980"/>
    <n v="2005"/>
    <x v="4"/>
    <x v="2"/>
    <x v="22"/>
    <x v="0"/>
    <d v="2025-01-22T00:00:00"/>
  </r>
  <r>
    <s v="1695 (F W)"/>
    <n v="8019251"/>
    <n v="2020"/>
    <x v="3"/>
    <x v="0"/>
    <x v="22"/>
    <x v="0"/>
    <d v="2025-06-23T00:00:00"/>
  </r>
  <r>
    <s v="15TR1SNew (M W)"/>
    <n v="8021567"/>
    <n v="2022"/>
    <x v="4"/>
    <x v="3"/>
    <x v="22"/>
    <x v="0"/>
    <d v="2025-06-23T00:00:00"/>
  </r>
  <r>
    <s v="2024 (M W)"/>
    <n v="8010450"/>
    <n v="2006"/>
    <x v="0"/>
    <x v="2"/>
    <x v="22"/>
    <x v="0"/>
    <d v="2023-02-15T00:00:00"/>
  </r>
  <r>
    <s v="1939 (F W)"/>
    <n v="8018156"/>
    <n v="2017"/>
    <x v="1"/>
    <x v="0"/>
    <x v="22"/>
    <x v="0"/>
    <d v="2024-10-22T00:00:00"/>
  </r>
  <r>
    <s v="1473 (F W)"/>
    <n v="8018076"/>
    <n v="2017"/>
    <x v="2"/>
    <x v="0"/>
    <x v="22"/>
    <x v="0"/>
    <d v="2025-08-02T00:00:00"/>
  </r>
  <r>
    <s v="17TR15 (M S)"/>
    <n v="8018219"/>
    <n v="2017"/>
    <x v="5"/>
    <x v="4"/>
    <x v="23"/>
    <x v="1"/>
    <d v="2024-11-19T00:00:00"/>
  </r>
  <r>
    <s v="1535 (M S)"/>
    <n v="8009979"/>
    <n v="2005"/>
    <x v="4"/>
    <x v="2"/>
    <x v="23"/>
    <x v="1"/>
    <d v="2024-12-13T00:00:00"/>
  </r>
  <r>
    <s v="17120 (F W)"/>
    <n v="8010068"/>
    <n v="2005"/>
    <x v="5"/>
    <x v="2"/>
    <x v="23"/>
    <x v="1"/>
    <d v="2024-10-31T00:00:00"/>
  </r>
  <r>
    <s v="1874 (M W)"/>
    <n v="8010451"/>
    <n v="2006"/>
    <x v="6"/>
    <x v="2"/>
    <x v="23"/>
    <x v="1"/>
    <d v="2024-10-21T00:00:00"/>
  </r>
  <r>
    <s v="1794 (M W)"/>
    <n v="8006183"/>
    <n v="2003"/>
    <x v="5"/>
    <x v="2"/>
    <x v="23"/>
    <x v="1"/>
    <d v="2025-08-22T00:00:00"/>
  </r>
  <r>
    <s v="15TR09 (M S)"/>
    <n v="8018740"/>
    <n v="2018"/>
    <x v="4"/>
    <x v="4"/>
    <x v="23"/>
    <x v="1"/>
    <d v="2025-05-18T00:00:00"/>
  </r>
  <r>
    <s v="17115 (F W)"/>
    <n v="8006108"/>
    <n v="2003"/>
    <x v="5"/>
    <x v="2"/>
    <x v="23"/>
    <x v="1"/>
    <d v="2024-12-17T00:00:00"/>
  </r>
  <r>
    <s v="16116 (F W)"/>
    <n v="8005185"/>
    <n v="2002"/>
    <x v="3"/>
    <x v="2"/>
    <x v="23"/>
    <x v="1"/>
    <d v="2025-02-07T00:00:00"/>
  </r>
  <r>
    <s v="17102 (M W)"/>
    <n v="8006105"/>
    <n v="2003"/>
    <x v="5"/>
    <x v="2"/>
    <x v="23"/>
    <x v="1"/>
    <d v="2025-01-19T00:00:00"/>
  </r>
  <r>
    <s v="1617 (M W)"/>
    <n v="8005187"/>
    <n v="2004"/>
    <x v="3"/>
    <x v="2"/>
    <x v="23"/>
    <x v="1"/>
    <d v="2025-01-06T00:00:00"/>
  </r>
  <r>
    <s v="16TR06 (M S)"/>
    <n v="8018718"/>
    <n v="2018"/>
    <x v="3"/>
    <x v="4"/>
    <x v="24"/>
    <x v="1"/>
    <d v="2026-01-06T00:00:00"/>
  </r>
  <r>
    <s v="16TR25 (M S)"/>
    <n v="8018644"/>
    <n v="2018"/>
    <x v="3"/>
    <x v="4"/>
    <x v="24"/>
    <x v="1"/>
    <d v="2026-01-05T00:00:00"/>
  </r>
  <r>
    <s v="16TR22 (M S)"/>
    <n v="8019079"/>
    <n v="2019"/>
    <x v="3"/>
    <x v="4"/>
    <x v="24"/>
    <x v="1"/>
    <d v="2025-05-19T00:00:00"/>
  </r>
  <r>
    <s v="18TR12 (M S)"/>
    <n v="8017836"/>
    <n v="2016"/>
    <x v="6"/>
    <x v="4"/>
    <x v="24"/>
    <x v="1"/>
    <d v="2025-01-31T00:00:00"/>
  </r>
  <r>
    <s v="15TR06 (M S)"/>
    <n v="8018647"/>
    <n v="2018"/>
    <x v="4"/>
    <x v="4"/>
    <x v="24"/>
    <x v="1"/>
    <m/>
  </r>
  <r>
    <s v="16TR17 (M S)"/>
    <n v="8016485"/>
    <n v="2014"/>
    <x v="3"/>
    <x v="4"/>
    <x v="24"/>
    <x v="1"/>
    <m/>
  </r>
  <r>
    <n v="1873"/>
    <n v="8015521"/>
    <n v="2012"/>
    <x v="6"/>
    <x v="1"/>
    <x v="24"/>
    <x v="1"/>
    <d v="2025-03-27T00:00:00"/>
  </r>
  <r>
    <s v="1385 (F W)"/>
    <n v="8009099"/>
    <n v="2005"/>
    <x v="7"/>
    <x v="2"/>
    <x v="25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386"/>
    <n v="8004818"/>
    <m/>
    <n v="2002"/>
    <x v="0"/>
    <x v="0"/>
    <x v="0"/>
  </r>
  <r>
    <s v="1483 (H M S)"/>
    <n v="8011191"/>
    <m/>
    <n v="2007"/>
    <x v="1"/>
    <x v="1"/>
    <x v="0"/>
  </r>
  <r>
    <n v="1482"/>
    <n v="8016709"/>
    <m/>
    <n v="2014"/>
    <x v="1"/>
    <x v="1"/>
    <x v="0"/>
  </r>
  <r>
    <s v="1494 (F W)"/>
    <n v="8004767"/>
    <m/>
    <n v="2001"/>
    <x v="1"/>
    <x v="0"/>
    <x v="0"/>
  </r>
  <r>
    <n v="15132"/>
    <n v="8007261"/>
    <m/>
    <n v="2003"/>
    <x v="2"/>
    <x v="0"/>
    <x v="0"/>
  </r>
  <r>
    <n v="1513"/>
    <n v="8005186"/>
    <m/>
    <n v="2002"/>
    <x v="2"/>
    <x v="0"/>
    <x v="0"/>
  </r>
  <r>
    <s v="15142 (M W)"/>
    <n v="8008496"/>
    <m/>
    <n v="2004"/>
    <x v="2"/>
    <x v="0"/>
    <x v="0"/>
  </r>
  <r>
    <n v="1706"/>
    <n v="8010477"/>
    <m/>
    <n v="2012"/>
    <x v="3"/>
    <x v="0"/>
    <x v="0"/>
  </r>
  <r>
    <s v="17111 (M S)"/>
    <n v="8010052"/>
    <m/>
    <n v="2005"/>
    <x v="3"/>
    <x v="0"/>
    <x v="0"/>
  </r>
  <r>
    <s v="Evo(15New02) (M S)"/>
    <n v="8016516"/>
    <m/>
    <n v="2014"/>
    <x v="2"/>
    <x v="2"/>
    <x v="0"/>
  </r>
  <r>
    <s v="17TR22(EVO4J) (F S)"/>
    <n v="8017991"/>
    <m/>
    <n v="2017"/>
    <x v="3"/>
    <x v="2"/>
    <x v="0"/>
  </r>
  <r>
    <s v="TOP1"/>
    <n v="8003064"/>
    <m/>
    <n v="2000"/>
    <x v="0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15539-7037-45B3-BA27-880FBD4F0237}" name="PivotTable2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A5:AC16" firstHeaderRow="1" firstDataRow="2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3">
        <item x="10"/>
        <item x="8"/>
        <item x="7"/>
        <item x="2"/>
        <item x="4"/>
        <item x="3"/>
        <item x="5"/>
        <item x="6"/>
        <item x="1"/>
        <item x="0"/>
        <item x="11"/>
        <item x="9"/>
        <item t="default"/>
      </items>
    </pivotField>
    <pivotField axis="axisCol" dataField="1" compact="0" outline="0" showAll="0">
      <items count="6">
        <item x="1"/>
        <item h="1" x="2"/>
        <item h="1" x="0"/>
        <item h="1" x="4"/>
        <item h="1" x="3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</pivotFields>
  <rowFields count="1">
    <field x="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2">
    <i>
      <x/>
    </i>
    <i t="grand">
      <x/>
    </i>
  </colItems>
  <dataFields count="1">
    <dataField name="Count of Type" fld="4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26F9E-D9E4-40AF-A6C2-20573F70ADC6}" name="PivotTable3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S38:U44" firstHeaderRow="1" firstDataRow="1" firstDataCol="2"/>
  <pivotFields count="8">
    <pivotField compact="0" outline="0" showAll="0"/>
    <pivotField compact="0" outline="0" showAll="0"/>
    <pivotField compact="0" outline="0" showAll="0"/>
    <pivotField compact="0" outline="0" showAll="0" defaultSubtotal="0"/>
    <pivotField axis="axisRow" compact="0" outline="0" showAll="0">
      <items count="6">
        <item x="1"/>
        <item x="2"/>
        <item x="0"/>
        <item x="4"/>
        <item x="3"/>
        <item t="default"/>
      </items>
    </pivotField>
    <pivotField dataField="1" compact="0" outline="0" showAll="0"/>
    <pivotField axis="axisRow" compact="0" outline="0" showAll="0" defaultSubtotal="0">
      <items count="2">
        <item x="0"/>
        <item h="1" x="1"/>
      </items>
    </pivotField>
    <pivotField compact="0" outline="0" showAll="0"/>
  </pivotFields>
  <rowFields count="2">
    <field x="6"/>
    <field x="4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Location Group" fld="5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3197C-AE84-42E8-831C-99261B09B6D5}" name="PivotTable4" cacheId="54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W49:AB54" firstHeaderRow="1" firstDataRow="2" firstDataCol="2"/>
  <pivotFields count="8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1"/>
        <item x="2"/>
        <item x="0"/>
        <item x="4"/>
        <item x="3"/>
        <item t="default"/>
      </items>
    </pivotField>
    <pivotField axis="axisRow" dataField="1" compact="0" outline="0" showAll="0">
      <items count="27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4"/>
        <item h="1" x="0"/>
        <item x="23"/>
        <item x="25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2">
    <field x="6"/>
    <field x="5"/>
  </rowFields>
  <rowItems count="4">
    <i>
      <x v="1"/>
      <x v="22"/>
    </i>
    <i r="1">
      <x v="24"/>
    </i>
    <i r="1">
      <x v="25"/>
    </i>
    <i t="default">
      <x v="1"/>
    </i>
  </rowItems>
  <colFields count="1">
    <field x="4"/>
  </colFields>
  <colItems count="4">
    <i>
      <x/>
    </i>
    <i>
      <x v="1"/>
    </i>
    <i>
      <x v="3"/>
    </i>
    <i t="grand">
      <x/>
    </i>
  </colItems>
  <dataFields count="1">
    <dataField name="Count of Location Group" fld="5" subtotal="count" baseField="0" baseItem="0"/>
  </dataFields>
  <chartFormats count="5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9844F-58DF-46B8-B9D6-C7927BC9F60A}" name="PivotTable1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S43:V53" firstHeaderRow="1" firstDataRow="2" firstDataCol="2"/>
  <pivotFields count="7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m="1" x="4"/>
        <item x="3"/>
        <item m="1" x="5"/>
        <item t="default"/>
      </items>
    </pivotField>
    <pivotField axis="axisCol" dataField="1" compact="0" outline="0" showAll="0">
      <items count="6">
        <item h="1" x="2"/>
        <item h="1" x="1"/>
        <item h="1" x="3"/>
        <item x="0"/>
        <item h="1" m="1" x="4"/>
        <item t="default"/>
      </items>
    </pivotField>
    <pivotField axis="axisRow" compact="0" outline="0" showAll="0">
      <items count="3">
        <item h="1" m="1" x="1"/>
        <item x="0"/>
        <item t="default"/>
      </items>
    </pivotField>
  </pivotFields>
  <rowFields count="2">
    <field x="4"/>
    <field x="6"/>
  </rowFields>
  <rowItems count="9">
    <i>
      <x/>
      <x v="1"/>
    </i>
    <i t="default">
      <x/>
    </i>
    <i>
      <x v="1"/>
      <x v="1"/>
    </i>
    <i t="default">
      <x v="1"/>
    </i>
    <i>
      <x v="2"/>
      <x v="1"/>
    </i>
    <i t="default">
      <x v="2"/>
    </i>
    <i>
      <x v="4"/>
      <x v="1"/>
    </i>
    <i t="default">
      <x v="4"/>
    </i>
    <i t="grand">
      <x/>
    </i>
  </rowItems>
  <colFields count="1">
    <field x="5"/>
  </colFields>
  <colItems count="2">
    <i>
      <x v="3"/>
    </i>
    <i t="grand">
      <x/>
    </i>
  </colItems>
  <dataFields count="1">
    <dataField name="Count of Type" fld="5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AAADA-21E8-4085-8D73-CC835E743C0A}" name="PivotTable3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C43:AH46" firstHeaderRow="1" firstDataRow="2" firstDataCol="1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6">
        <item x="2"/>
        <item x="1"/>
        <item x="3"/>
        <item x="0"/>
        <item m="1" x="4"/>
        <item t="default"/>
      </items>
    </pivotField>
    <pivotField axis="axisRow" compact="0" outline="0" showAll="0">
      <items count="3">
        <item m="1" x="1"/>
        <item x="0"/>
        <item t="default"/>
      </items>
    </pivotField>
  </pivotFields>
  <rowFields count="1">
    <field x="6"/>
  </rowFields>
  <rowItems count="2">
    <i>
      <x v="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ype" fld="5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1" xr10:uid="{5590149F-88A0-4F11-806E-C847057421F0}" sourceName="Type">
  <pivotTables>
    <pivotTable tabId="5" name="PivotTable2"/>
  </pivotTables>
  <data>
    <tabular pivotCacheId="1436154077">
      <items count="5">
        <i x="1" s="1"/>
        <i x="2"/>
        <i x="0"/>
        <i x="4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" xr10:uid="{9B6A30DD-EAA8-4B70-B74B-D6C13D1656EC}" sourceName="Type">
  <pivotTables>
    <pivotTable tabId="7" name="PivotTable3"/>
  </pivotTables>
  <data>
    <tabular pivotCacheId="1436154077">
      <items count="5">
        <i x="1" s="1"/>
        <i x="2" s="1"/>
        <i x="0" s="1"/>
        <i x="4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2" xr10:uid="{9CA9728B-049D-417E-9A54-F8EC3C24D967}" sourceName="Type">
  <pivotTables>
    <pivotTable tabId="6" name="PivotTable4"/>
  </pivotTables>
  <data>
    <tabular pivotCacheId="1436154077">
      <items count="5">
        <i x="1" s="1"/>
        <i x="2" s="1"/>
        <i x="4" s="1"/>
        <i x="0" s="1" nd="1"/>
        <i x="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D0AFC854-85AF-4942-82A9-255EDE28D58F}" sourceName="Status">
  <pivotTables>
    <pivotTable tabId="5" name="PivotTable2"/>
  </pivotTables>
  <data>
    <tabular pivotCacheId="1436154077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3" xr10:uid="{93706423-3B5F-44CE-9DCB-79EB453162E7}" sourceName="Type">
  <pivotTables>
    <pivotTable tabId="9" name="PivotTable1"/>
  </pivotTables>
  <data>
    <tabular pivotCacheId="2142402346">
      <items count="5">
        <i x="2"/>
        <i x="1"/>
        <i x="3"/>
        <i x="0" s="1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 1" xr10:uid="{EF88A11B-916F-4302-BF5A-F37406354061}" cache="Slicer_Type1" caption="Type" columnCount="5" style="SlicerStyleOther1" rowHeight="228600"/>
  <slicer name="Status" xr10:uid="{A0C69D83-BD6D-46F6-8F00-ABFF60FAD739}" cache="Slicer_Status" caption="Status" columnCount="2" style="SlicerStyleOther1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" xr10:uid="{2183A9D6-C74C-464F-8A96-421053B87D47}" cache="Slicer_Type" caption="Type" columnCount="5" style="SlicerStyleOther1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 2" xr10:uid="{8289B2E7-E992-4195-8C89-0BE6E3FAEAC3}" cache="Slicer_Type2" caption="Type" columnCount="5" style="SlicerStyleOther1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 3" xr10:uid="{AAC68479-E673-4800-9CE8-2948904531A1}" cache="Slicer_Type3" caption="Type" columnCount="5" style="SlicerStyleOther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A59B29-945F-46DC-B646-2B0BF65000AF}" name="Table3" displayName="Table3" ref="A1:F97" totalsRowShown="0" headerRowDxfId="52" dataDxfId="51" headerRowBorderDxfId="49" tableBorderDxfId="50" totalsRowBorderDxfId="48">
  <autoFilter ref="A1:F97" xr:uid="{E5A59B29-945F-46DC-B646-2B0BF65000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E3C3EE3-351B-477F-8AA2-E9FBD8D36BF5}" name="Machine No" dataDxfId="47"/>
    <tableColumn id="7" xr3:uid="{7220200A-C7BA-4769-9F80-55A24E47C22D}" name="Serial No" dataDxfId="46"/>
    <tableColumn id="5" xr3:uid="{CE322B28-1B18-4A8F-860E-2B5C6086975A}" name="M/C Year" dataDxfId="45"/>
    <tableColumn id="2" xr3:uid="{5E76A23B-F095-49AA-969D-C72C6CFAC2D3}" name="Machine Type" dataDxfId="44"/>
    <tableColumn id="3" xr3:uid="{8A9C1065-3B31-4C6E-AE04-0AABB9AA75FA}" name="Location Group" dataDxfId="43"/>
    <tableColumn id="4" xr3:uid="{992B3534-324E-4CE9-94D3-E843AE6F7E91}" name="Comments" dataDxfId="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CD73D-DCDD-4E31-B59A-311A4EBE808E}" name="Table1" displayName="Table1" ref="A1:H295" totalsRowShown="0" headerRowDxfId="41" dataDxfId="40" headerRowBorderDxfId="38" tableBorderDxfId="39" totalsRowBorderDxfId="37">
  <autoFilter ref="A1:H295" xr:uid="{077CD73D-DCDD-4E31-B59A-311A4EBE808E}"/>
  <tableColumns count="8">
    <tableColumn id="1" xr3:uid="{D706542D-EC0F-4BB0-9DDF-A06DD7AC77ED}" name="Machine No" dataDxfId="36"/>
    <tableColumn id="2" xr3:uid="{8F6A4D10-83EE-4923-91E9-E44B83EE7248}" name="Serial No" dataDxfId="35"/>
    <tableColumn id="3" xr3:uid="{9445AE85-AEA6-489A-B365-1880C0EFBDDC}" name="M/C Year" dataDxfId="34"/>
    <tableColumn id="4" xr3:uid="{B0F3A87C-76C7-4550-AB80-EA0ECF1590CB}" name="Diameter" dataDxfId="33"/>
    <tableColumn id="5" xr3:uid="{9C813A7B-0A62-4AFB-8759-FBE688A3CA6B}" name="Type" dataDxfId="32"/>
    <tableColumn id="6" xr3:uid="{C8ECE08A-DD0A-4303-8E48-CF938917053A}" name="Location Group" dataDxfId="31"/>
    <tableColumn id="7" xr3:uid="{967E522A-1538-4815-8473-88F0512EDEAD}" name="Status" dataDxfId="30"/>
    <tableColumn id="8" xr3:uid="{216489BC-06B6-4C51-8775-BEAF710595FB}" name="Service Date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C202FE-04CB-4380-BC33-9B87CED27017}" name="Table4" displayName="Table4" ref="A1:G13" totalsRowShown="0" headerRowDxfId="28" headerRowBorderDxfId="26" tableBorderDxfId="27" totalsRowBorderDxfId="25">
  <autoFilter ref="A1:G13" xr:uid="{52C202FE-04CB-4380-BC33-9B87CED27017}"/>
  <tableColumns count="7">
    <tableColumn id="1" xr3:uid="{2F1255D7-DCBD-4D8A-9FFD-CAF846B962B6}" name="Machine No" dataDxfId="24"/>
    <tableColumn id="2" xr3:uid="{D62F96E0-95B9-4C65-8A1B-B88C6D4B4D9E}" name="Serial No" dataDxfId="23"/>
    <tableColumn id="3" xr3:uid="{FD6D677B-1A0B-41D2-A0AC-ABEDA0AEB02E}" name="M/C Inhouse Date" dataDxfId="22"/>
    <tableColumn id="4" xr3:uid="{E8260EFA-7A26-492F-B326-BAEDC13E3799}" name="M/C Year" dataDxfId="21"/>
    <tableColumn id="5" xr3:uid="{584EABA8-5C47-4822-AC1A-6FF064ECF6EA}" name="Diameter" dataDxfId="20"/>
    <tableColumn id="6" xr3:uid="{E77F5D70-2C54-48DA-ACA8-4246A42F7DB3}" name="Type" dataDxfId="19"/>
    <tableColumn id="7" xr3:uid="{1554AC15-B8ED-4F46-92BF-0DD4451369DE}" name="Current Location" data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3DB312-8877-4B4F-81DA-8B92E6F874AD}" name="Table5" displayName="Table5" ref="A1:F15" totalsRowShown="0" headerRowDxfId="17" dataDxfId="16" headerRowBorderDxfId="14" tableBorderDxfId="15" totalsRowBorderDxfId="13">
  <autoFilter ref="A1:F15" xr:uid="{E73DB312-8877-4B4F-81DA-8B92E6F874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AD96D8-5994-4192-BEA0-92889408B218}" name="Machine No" dataDxfId="12"/>
    <tableColumn id="2" xr3:uid="{078A9E11-C4CD-4E07-A623-EBEF5D8FDD6F}" name="Serial No" dataDxfId="11"/>
    <tableColumn id="3" xr3:uid="{6B7B591C-4F1E-4939-BE27-55CB067A255E}" name="M/C Year" dataDxfId="10"/>
    <tableColumn id="4" xr3:uid="{674D7A78-91DA-427F-BE27-202D33B17ABE}" name="Diameter" dataDxfId="9"/>
    <tableColumn id="5" xr3:uid="{41E5A7DB-8A81-49A0-8FEC-29992A0C9069}" name="Type" dataDxfId="8"/>
    <tableColumn id="6" xr3:uid="{8A5CE336-572D-4778-A0A5-D5B152B891CF}" name="Current Location" dataDxfId="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F4ACAA-C429-4A7F-8FDA-46129C0ECBD5}" name="TypeDiameter" displayName="TypeDiameter" ref="A1:C46" totalsRowShown="0" headerRowDxfId="6" headerRowBorderDxfId="4" tableBorderDxfId="5" totalsRowBorderDxfId="3">
  <autoFilter ref="A1:C46" xr:uid="{57F4ACAA-C429-4A7F-8FDA-46129C0ECBD5}">
    <filterColumn colId="0" hiddenButton="1"/>
    <filterColumn colId="1" hiddenButton="1"/>
    <filterColumn colId="2" hiddenButton="1"/>
  </autoFilter>
  <tableColumns count="3">
    <tableColumn id="1" xr3:uid="{597F83F5-6243-491E-9887-174A0CF0C5FB}" name="Type" dataDxfId="2"/>
    <tableColumn id="2" xr3:uid="{54A13E85-07DC-40CD-92C1-C87B2DB8955C}" name="Diameter" dataDxfId="1"/>
    <tableColumn id="3" xr3:uid="{A81A54BA-6EB2-4362-9238-D1D87AE303FF}" name="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7" dT="2025-10-29T04:06:15.75" personId="{C9164E0E-7629-4875-A152-3E401F65A49D}" id="{45183EEA-0D2E-47BA-B5D1-1A67CCB1EA19}">
    <text>Inhouse : 2025-10-24</text>
  </threadedComment>
  <threadedComment ref="B228" dT="2025-10-23T04:09:31.41" personId="{C9164E0E-7629-4875-A152-3E401F65A49D}" id="{08C794F1-68CC-404A-B655-924DA2F32DD7}">
    <text>Inhouse 2025-10-22</text>
  </threadedComment>
  <threadedComment ref="D229" dT="2025-09-30T09:29:56.55" personId="{C9164E0E-7629-4875-A152-3E401F65A49D}" id="{B91F4822-0027-452B-A3B8-BE9773B6E6EB}">
    <text>Converted machine
Diameter 18 To 21</text>
  </threadedComment>
  <threadedComment ref="B240" dT="2025-10-23T04:09:06.16" personId="{C9164E0E-7629-4875-A152-3E401F65A49D}" id="{85E16176-076B-46F1-B886-6780E70DFC06}">
    <text>Inhouse 2025-10-22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rl.uk.m.mimecastprotect.com/s/CLrgCkwl8iOn340zi2fvUGHZcT?domain=docs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4117-DE08-4239-9536-574E032173E9}">
  <dimension ref="B2:AJ26"/>
  <sheetViews>
    <sheetView showGridLines="0" showRowColHeaders="0" workbookViewId="0">
      <selection activeCell="F2" activeCellId="1" sqref="S21 F2:G3"/>
    </sheetView>
  </sheetViews>
  <sheetFormatPr defaultRowHeight="15"/>
  <cols>
    <col min="1" max="4" width="9.140625" style="23"/>
    <col min="5" max="5" width="9.85546875" style="23" customWidth="1"/>
    <col min="6" max="26" width="9.140625" style="23"/>
    <col min="27" max="27" width="13.42578125" style="23" bestFit="1" customWidth="1"/>
    <col min="28" max="28" width="8.42578125" style="23" bestFit="1" customWidth="1"/>
    <col min="29" max="29" width="11.42578125" style="23" bestFit="1" customWidth="1"/>
    <col min="30" max="30" width="7" style="23" bestFit="1" customWidth="1"/>
    <col min="31" max="31" width="3.28515625" style="23" bestFit="1" customWidth="1"/>
    <col min="32" max="32" width="5.5703125" style="23" bestFit="1" customWidth="1"/>
    <col min="33" max="34" width="11.42578125" style="23" bestFit="1" customWidth="1"/>
    <col min="35" max="35" width="4.85546875" style="23" bestFit="1" customWidth="1"/>
    <col min="36" max="36" width="11.42578125" style="23" bestFit="1" customWidth="1"/>
    <col min="37" max="16384" width="9.140625" style="23"/>
  </cols>
  <sheetData>
    <row r="2" spans="2:36" ht="17.25">
      <c r="C2" s="130" t="s">
        <v>0</v>
      </c>
      <c r="D2" s="130"/>
      <c r="F2" s="124" t="str">
        <f>HYPERLINK("#" &amp; "Running!G2","Running")</f>
        <v>Running</v>
      </c>
      <c r="G2" s="131"/>
      <c r="H2" s="55"/>
      <c r="I2" s="124" t="str">
        <f>HYPERLINK("#" &amp; "Parking!K2","Parking")</f>
        <v>Parking</v>
      </c>
      <c r="J2" s="125"/>
      <c r="K2" s="55"/>
      <c r="L2" s="124" t="str">
        <f>HYPERLINK("#" &amp; "Advantis!L2","Advantis")</f>
        <v>Advantis</v>
      </c>
      <c r="M2" s="125"/>
      <c r="N2" s="55"/>
      <c r="O2" s="128" t="str">
        <f>HYPERLINK("#" &amp; "Services!A1","Service")</f>
        <v>Service</v>
      </c>
      <c r="P2" s="129"/>
    </row>
    <row r="3" spans="2:36" ht="17.25">
      <c r="C3" s="130"/>
      <c r="D3" s="130"/>
      <c r="F3" s="132"/>
      <c r="G3" s="133"/>
      <c r="H3" s="55"/>
      <c r="I3" s="126"/>
      <c r="J3" s="127"/>
      <c r="K3" s="55"/>
      <c r="L3" s="126"/>
      <c r="M3" s="127"/>
      <c r="N3" s="55"/>
      <c r="O3" s="129"/>
      <c r="P3" s="129"/>
    </row>
    <row r="5" spans="2:36">
      <c r="AA5" s="25" t="s">
        <v>1</v>
      </c>
      <c r="AB5" s="25" t="s">
        <v>2</v>
      </c>
      <c r="AC5"/>
      <c r="AD5"/>
      <c r="AE5"/>
      <c r="AF5"/>
      <c r="AG5"/>
      <c r="AH5"/>
      <c r="AI5"/>
      <c r="AJ5"/>
    </row>
    <row r="6" spans="2:36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AA6" s="25" t="s">
        <v>3</v>
      </c>
      <c r="AB6" t="s">
        <v>4</v>
      </c>
      <c r="AC6" t="s">
        <v>5</v>
      </c>
      <c r="AD6"/>
      <c r="AE6"/>
      <c r="AF6"/>
      <c r="AG6"/>
      <c r="AH6"/>
      <c r="AI6"/>
      <c r="AJ6"/>
    </row>
    <row r="7" spans="2:36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AA7">
        <v>12</v>
      </c>
      <c r="AB7">
        <v>4</v>
      </c>
      <c r="AC7">
        <v>4</v>
      </c>
      <c r="AD7"/>
      <c r="AE7"/>
      <c r="AF7"/>
      <c r="AG7"/>
      <c r="AH7"/>
      <c r="AI7"/>
      <c r="AJ7"/>
    </row>
    <row r="8" spans="2:36" ht="15" customHeight="1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AA8">
        <v>13</v>
      </c>
      <c r="AB8">
        <v>7</v>
      </c>
      <c r="AC8">
        <v>7</v>
      </c>
      <c r="AD8"/>
      <c r="AE8"/>
      <c r="AF8"/>
      <c r="AG8"/>
      <c r="AH8"/>
      <c r="AI8"/>
      <c r="AJ8"/>
    </row>
    <row r="9" spans="2:36" ht="15" customHeight="1">
      <c r="B9" s="24"/>
      <c r="C9" s="24"/>
      <c r="D9" s="24"/>
      <c r="E9" s="99" t="s">
        <v>6</v>
      </c>
      <c r="F9" s="100"/>
      <c r="G9" s="94">
        <f>E13+E16+E19+I13+I16</f>
        <v>294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AA9">
        <v>14</v>
      </c>
      <c r="AB9">
        <v>4</v>
      </c>
      <c r="AC9">
        <v>4</v>
      </c>
      <c r="AD9"/>
      <c r="AE9"/>
      <c r="AF9"/>
      <c r="AG9"/>
      <c r="AH9"/>
      <c r="AI9"/>
      <c r="AJ9"/>
    </row>
    <row r="10" spans="2:36">
      <c r="B10" s="24"/>
      <c r="C10" s="24"/>
      <c r="D10" s="24"/>
      <c r="E10" s="101"/>
      <c r="F10" s="102"/>
      <c r="G10" s="9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AA10">
        <v>15</v>
      </c>
      <c r="AB10">
        <v>2</v>
      </c>
      <c r="AC10">
        <v>2</v>
      </c>
      <c r="AD10"/>
      <c r="AE10"/>
      <c r="AF10"/>
      <c r="AG10"/>
      <c r="AH10"/>
      <c r="AI10"/>
      <c r="AJ10"/>
    </row>
    <row r="11" spans="2:36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AA11">
        <v>16</v>
      </c>
      <c r="AB11">
        <v>9</v>
      </c>
      <c r="AC11">
        <v>9</v>
      </c>
      <c r="AD11"/>
      <c r="AE11"/>
      <c r="AF11"/>
      <c r="AG11"/>
      <c r="AH11"/>
      <c r="AI11"/>
      <c r="AJ11"/>
    </row>
    <row r="12" spans="2:36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AA12">
        <v>17</v>
      </c>
      <c r="AB12">
        <v>4</v>
      </c>
      <c r="AC12">
        <v>4</v>
      </c>
      <c r="AD12"/>
      <c r="AE12"/>
      <c r="AF12"/>
      <c r="AG12"/>
      <c r="AH12"/>
      <c r="AI12"/>
      <c r="AJ12"/>
    </row>
    <row r="13" spans="2:36" ht="15" customHeight="1">
      <c r="B13" s="24"/>
      <c r="C13" s="106" t="s">
        <v>7</v>
      </c>
      <c r="D13" s="107"/>
      <c r="E13" s="103">
        <f>COUNTIF(Machines!E:E,"TOP2V")</f>
        <v>157</v>
      </c>
      <c r="F13" s="24"/>
      <c r="G13" s="114" t="s">
        <v>8</v>
      </c>
      <c r="H13" s="115"/>
      <c r="I13" s="118">
        <f>COUNTIF(Machines!E:E,"TOP2")</f>
        <v>28</v>
      </c>
      <c r="J13" s="24"/>
      <c r="K13" s="24"/>
      <c r="L13" s="24"/>
      <c r="M13" s="24"/>
      <c r="N13" s="24"/>
      <c r="O13" s="24"/>
      <c r="P13" s="24"/>
      <c r="Q13" s="24"/>
      <c r="R13" s="24"/>
      <c r="AA13">
        <v>18</v>
      </c>
      <c r="AB13">
        <v>7</v>
      </c>
      <c r="AC13">
        <v>7</v>
      </c>
      <c r="AD13"/>
      <c r="AE13"/>
      <c r="AF13"/>
      <c r="AG13"/>
      <c r="AH13"/>
      <c r="AI13"/>
      <c r="AJ13"/>
    </row>
    <row r="14" spans="2:36" ht="15" customHeight="1">
      <c r="B14" s="24"/>
      <c r="C14" s="108"/>
      <c r="D14" s="109"/>
      <c r="E14" s="103"/>
      <c r="F14" s="24"/>
      <c r="G14" s="116"/>
      <c r="H14" s="117"/>
      <c r="I14" s="118"/>
      <c r="J14" s="24"/>
      <c r="K14" s="24"/>
      <c r="L14" s="24"/>
      <c r="M14" s="24"/>
      <c r="N14" s="24"/>
      <c r="O14" s="24"/>
      <c r="P14" s="24"/>
      <c r="Q14" s="24"/>
      <c r="R14" s="24"/>
      <c r="AA14">
        <v>19</v>
      </c>
      <c r="AB14">
        <v>4</v>
      </c>
      <c r="AC14">
        <v>4</v>
      </c>
      <c r="AD14"/>
      <c r="AE14"/>
      <c r="AF14"/>
      <c r="AG14"/>
      <c r="AH14"/>
      <c r="AI14"/>
      <c r="AJ14"/>
    </row>
    <row r="15" spans="2:36" ht="15" customHeight="1">
      <c r="B15" s="24"/>
      <c r="C15" s="24"/>
      <c r="D15" s="24"/>
      <c r="E15" s="54"/>
      <c r="F15" s="24"/>
      <c r="G15" s="24"/>
      <c r="H15" s="24"/>
      <c r="I15" s="54"/>
      <c r="J15" s="24"/>
      <c r="K15" s="24"/>
      <c r="L15" s="24"/>
      <c r="M15" s="24"/>
      <c r="N15" s="24"/>
      <c r="O15" s="24"/>
      <c r="P15" s="24"/>
      <c r="Q15" s="24"/>
      <c r="R15" s="24"/>
      <c r="AA15">
        <v>20</v>
      </c>
      <c r="AB15">
        <v>2</v>
      </c>
      <c r="AC15">
        <v>2</v>
      </c>
      <c r="AD15"/>
      <c r="AE15"/>
      <c r="AF15"/>
      <c r="AG15"/>
      <c r="AH15"/>
      <c r="AI15"/>
      <c r="AJ15"/>
    </row>
    <row r="16" spans="2:36">
      <c r="B16" s="24"/>
      <c r="C16" s="119" t="s">
        <v>4</v>
      </c>
      <c r="D16" s="120"/>
      <c r="E16" s="105">
        <f>COUNTIF(Machines!E:E,"HIE")</f>
        <v>43</v>
      </c>
      <c r="F16" s="24"/>
      <c r="G16" s="95" t="s">
        <v>9</v>
      </c>
      <c r="H16" s="96"/>
      <c r="I16" s="123">
        <f>COUNTIF(Machines!E:E,"TR1S")</f>
        <v>19</v>
      </c>
      <c r="J16" s="24"/>
      <c r="K16" s="24"/>
      <c r="L16" s="24"/>
      <c r="M16" s="24"/>
      <c r="N16" s="24"/>
      <c r="O16" s="24"/>
      <c r="P16" s="24"/>
      <c r="Q16" s="24"/>
      <c r="R16" s="24"/>
      <c r="AA16" t="s">
        <v>5</v>
      </c>
      <c r="AB16">
        <v>43</v>
      </c>
      <c r="AC16">
        <v>43</v>
      </c>
      <c r="AD16"/>
      <c r="AE16"/>
      <c r="AF16"/>
      <c r="AG16"/>
      <c r="AH16"/>
      <c r="AI16"/>
      <c r="AJ16"/>
    </row>
    <row r="17" spans="2:36" ht="15" customHeight="1">
      <c r="B17" s="24"/>
      <c r="C17" s="121"/>
      <c r="D17" s="122"/>
      <c r="E17" s="105"/>
      <c r="F17" s="24"/>
      <c r="G17" s="97"/>
      <c r="H17" s="98"/>
      <c r="I17" s="123"/>
      <c r="J17" s="24"/>
      <c r="K17" s="24"/>
      <c r="L17" s="24"/>
      <c r="M17" s="24"/>
      <c r="N17" s="24"/>
      <c r="O17" s="24"/>
      <c r="P17" s="24"/>
      <c r="Q17" s="24"/>
      <c r="R17" s="24"/>
      <c r="AA17"/>
      <c r="AB17"/>
      <c r="AC17"/>
      <c r="AD17"/>
      <c r="AE17"/>
      <c r="AF17"/>
      <c r="AG17"/>
      <c r="AH17"/>
      <c r="AI17"/>
      <c r="AJ17"/>
    </row>
    <row r="18" spans="2:36" ht="15" customHeight="1">
      <c r="B18" s="24"/>
      <c r="C18" s="24"/>
      <c r="D18" s="24"/>
      <c r="E18" s="54"/>
      <c r="F18" s="24"/>
      <c r="G18" s="24"/>
      <c r="H18" s="24"/>
      <c r="I18" s="54"/>
      <c r="J18" s="24"/>
      <c r="K18" s="24"/>
      <c r="L18" s="24"/>
      <c r="M18" s="24"/>
      <c r="N18" s="24"/>
      <c r="O18" s="24"/>
      <c r="P18" s="24"/>
      <c r="Q18" s="24"/>
      <c r="R18" s="24"/>
      <c r="AA18"/>
      <c r="AB18"/>
      <c r="AC18"/>
      <c r="AD18"/>
      <c r="AE18"/>
      <c r="AF18"/>
      <c r="AG18"/>
      <c r="AH18"/>
      <c r="AI18"/>
      <c r="AJ18"/>
    </row>
    <row r="19" spans="2:36" ht="15" customHeight="1">
      <c r="B19" s="24"/>
      <c r="C19" s="110" t="s">
        <v>10</v>
      </c>
      <c r="D19" s="111"/>
      <c r="E19" s="104">
        <f>COUNTIF(Machines!E:E,"TR")</f>
        <v>47</v>
      </c>
      <c r="F19" s="24"/>
      <c r="G19" s="60"/>
      <c r="H19" s="60"/>
      <c r="I19" s="61"/>
      <c r="J19" s="24"/>
      <c r="K19" s="24"/>
      <c r="L19" s="24"/>
      <c r="M19" s="24"/>
      <c r="N19" s="24"/>
      <c r="O19" s="24"/>
      <c r="P19" s="24"/>
      <c r="Q19" s="24"/>
      <c r="R19" s="24"/>
      <c r="AA19"/>
      <c r="AB19"/>
      <c r="AC19"/>
      <c r="AD19"/>
      <c r="AE19"/>
      <c r="AF19"/>
      <c r="AG19"/>
      <c r="AH19"/>
      <c r="AI19"/>
      <c r="AJ19"/>
    </row>
    <row r="20" spans="2:36" ht="15" customHeight="1">
      <c r="B20" s="24"/>
      <c r="C20" s="112"/>
      <c r="D20" s="113"/>
      <c r="E20" s="104"/>
      <c r="F20" s="24"/>
      <c r="G20" s="60"/>
      <c r="H20" s="60"/>
      <c r="I20" s="61"/>
      <c r="J20" s="24"/>
      <c r="K20" s="24"/>
      <c r="L20" s="24"/>
      <c r="M20" s="24"/>
      <c r="N20" s="24"/>
      <c r="O20" s="24"/>
      <c r="P20" s="24"/>
      <c r="Q20" s="24"/>
      <c r="R20" s="24"/>
      <c r="AA20"/>
      <c r="AB20"/>
      <c r="AC20"/>
    </row>
    <row r="21" spans="2:36" ht="15" customHeight="1">
      <c r="B21" s="24"/>
      <c r="C21" s="24"/>
      <c r="D21" s="24"/>
      <c r="E21" s="54"/>
      <c r="F21" s="24"/>
      <c r="G21" s="24"/>
      <c r="H21" s="24"/>
      <c r="I21" s="54"/>
      <c r="J21" s="24"/>
      <c r="K21" s="24"/>
      <c r="L21" s="24"/>
      <c r="M21" s="24"/>
      <c r="N21" s="24"/>
      <c r="O21" s="24"/>
      <c r="P21" s="24"/>
      <c r="Q21" s="24"/>
      <c r="R21" s="24"/>
      <c r="AA21"/>
      <c r="AB21"/>
      <c r="AC21"/>
    </row>
    <row r="22" spans="2:36" ht="15" customHeight="1">
      <c r="B22" s="24"/>
      <c r="C22" s="60"/>
      <c r="D22" s="60"/>
      <c r="E22" s="61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AA22"/>
      <c r="AB22"/>
      <c r="AC22"/>
    </row>
    <row r="23" spans="2:36" ht="15" customHeight="1">
      <c r="B23" s="24"/>
      <c r="C23" s="60"/>
      <c r="D23" s="60"/>
      <c r="E23" s="61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2:36" ht="15" customHeight="1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2:36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2:36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</sheetData>
  <mergeCells count="17">
    <mergeCell ref="L2:M3"/>
    <mergeCell ref="O2:P3"/>
    <mergeCell ref="C2:D3"/>
    <mergeCell ref="I2:J3"/>
    <mergeCell ref="F2:G3"/>
    <mergeCell ref="C13:D14"/>
    <mergeCell ref="C19:D20"/>
    <mergeCell ref="G13:H14"/>
    <mergeCell ref="I13:I14"/>
    <mergeCell ref="C16:D17"/>
    <mergeCell ref="I16:I17"/>
    <mergeCell ref="G9:G10"/>
    <mergeCell ref="G16:H17"/>
    <mergeCell ref="E9:F10"/>
    <mergeCell ref="E13:E14"/>
    <mergeCell ref="E19:E20"/>
    <mergeCell ref="E16:E17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8766-7B61-46EA-BA0F-A9507FF21006}">
  <dimension ref="B2:U92"/>
  <sheetViews>
    <sheetView showGridLines="0" showRowColHeaders="0" topLeftCell="A9" workbookViewId="0">
      <selection activeCell="G2" sqref="G2"/>
    </sheetView>
  </sheetViews>
  <sheetFormatPr defaultRowHeight="15"/>
  <cols>
    <col min="1" max="4" width="9.140625" style="30"/>
    <col min="5" max="5" width="10" style="30" customWidth="1"/>
    <col min="6" max="18" width="9.140625" style="30"/>
    <col min="19" max="19" width="11.42578125" style="30" bestFit="1" customWidth="1"/>
    <col min="20" max="20" width="8.42578125" style="30" bestFit="1" customWidth="1"/>
    <col min="21" max="21" width="23" style="30" bestFit="1" customWidth="1"/>
    <col min="22" max="16384" width="9.140625" style="30"/>
  </cols>
  <sheetData>
    <row r="2" spans="2:18" ht="17.25">
      <c r="C2" s="134" t="str">
        <f>HYPERLINK("#" &amp; "Overview!D2","Overview")</f>
        <v>Overview</v>
      </c>
      <c r="D2" s="135"/>
      <c r="F2" s="138" t="str">
        <f>HYPERLINK("#" &amp; "Running!G2","Running")</f>
        <v>Running</v>
      </c>
      <c r="G2" s="138"/>
      <c r="H2" s="56"/>
      <c r="I2" s="124" t="str">
        <f>HYPERLINK("#" &amp; "Parking!K2","Parking")</f>
        <v>Parking</v>
      </c>
      <c r="J2" s="125"/>
      <c r="K2" s="56"/>
      <c r="L2" s="124" t="str">
        <f>HYPERLINK("#" &amp; "Advantis!L2","Advantis")</f>
        <v>Advantis</v>
      </c>
      <c r="M2" s="125"/>
      <c r="N2" s="56"/>
      <c r="O2" s="128" t="str">
        <f>HYPERLINK("#" &amp; "Services!A1","Service")</f>
        <v>Service</v>
      </c>
      <c r="P2" s="129"/>
    </row>
    <row r="3" spans="2:18" ht="17.25">
      <c r="C3" s="136"/>
      <c r="D3" s="137"/>
      <c r="F3" s="138"/>
      <c r="G3" s="138"/>
      <c r="H3" s="56"/>
      <c r="I3" s="126"/>
      <c r="J3" s="127"/>
      <c r="K3" s="56"/>
      <c r="L3" s="126"/>
      <c r="M3" s="127"/>
      <c r="N3" s="56"/>
      <c r="O3" s="129"/>
      <c r="P3" s="129"/>
    </row>
    <row r="6" spans="2:18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2:18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2:18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2:18" ht="15" customHeight="1">
      <c r="B9" s="26"/>
      <c r="C9" s="26"/>
      <c r="D9" s="26"/>
      <c r="E9" s="139" t="s">
        <v>11</v>
      </c>
      <c r="F9" s="140"/>
      <c r="G9" s="94">
        <f>COUNTIF(Machines!G:G,"Active")</f>
        <v>276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2:18" ht="15" customHeight="1">
      <c r="B10" s="26"/>
      <c r="C10" s="26"/>
      <c r="D10" s="26"/>
      <c r="E10" s="141"/>
      <c r="F10" s="142"/>
      <c r="G10" s="94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2:18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2:18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2:18">
      <c r="B13" s="26"/>
      <c r="C13" s="106" t="s">
        <v>7</v>
      </c>
      <c r="D13" s="107"/>
      <c r="E13" s="103">
        <f>COUNTIFS(Machines!E:E,"TOP2V",Machines!G:G,"Active")</f>
        <v>157</v>
      </c>
      <c r="F13" s="24"/>
      <c r="G13" s="114" t="s">
        <v>8</v>
      </c>
      <c r="H13" s="115"/>
      <c r="I13" s="118">
        <f>COUNTIFS(Machines!E:E,"TOP2",Machines!G:G,"Active")</f>
        <v>19</v>
      </c>
      <c r="J13" s="26"/>
      <c r="K13" s="26"/>
      <c r="L13" s="26"/>
      <c r="M13" s="26"/>
      <c r="N13" s="26"/>
      <c r="O13" s="26"/>
      <c r="P13" s="26"/>
      <c r="Q13" s="26"/>
      <c r="R13" s="26"/>
    </row>
    <row r="14" spans="2:18">
      <c r="B14" s="26"/>
      <c r="C14" s="108"/>
      <c r="D14" s="109"/>
      <c r="E14" s="103"/>
      <c r="F14" s="24"/>
      <c r="G14" s="116"/>
      <c r="H14" s="117"/>
      <c r="I14" s="118"/>
      <c r="J14" s="26"/>
      <c r="K14" s="26"/>
      <c r="L14" s="26"/>
      <c r="M14" s="26"/>
      <c r="N14" s="26"/>
      <c r="O14" s="26"/>
      <c r="P14" s="26"/>
      <c r="Q14" s="26"/>
      <c r="R14" s="26"/>
    </row>
    <row r="15" spans="2:18" ht="14.25" customHeight="1">
      <c r="B15" s="26"/>
      <c r="C15" s="24"/>
      <c r="D15" s="24"/>
      <c r="E15" s="54"/>
      <c r="F15" s="24"/>
      <c r="G15" s="24"/>
      <c r="H15" s="24"/>
      <c r="I15" s="54"/>
      <c r="J15" s="26"/>
      <c r="K15" s="26"/>
      <c r="L15" s="26"/>
      <c r="M15" s="26"/>
      <c r="N15" s="26"/>
      <c r="O15" s="26"/>
      <c r="P15" s="26"/>
      <c r="Q15" s="26"/>
      <c r="R15" s="26"/>
    </row>
    <row r="16" spans="2:18">
      <c r="B16" s="26"/>
      <c r="C16" s="119" t="s">
        <v>4</v>
      </c>
      <c r="D16" s="120"/>
      <c r="E16" s="105">
        <f>COUNTIFS(Machines!E:E,"HIE",Machines!G:G,"Active")</f>
        <v>42</v>
      </c>
      <c r="F16" s="24"/>
      <c r="G16" s="95" t="s">
        <v>9</v>
      </c>
      <c r="H16" s="96"/>
      <c r="I16" s="123">
        <f>COUNTIFS(Machines!E:E,"TR1S",Machines!G:G,"Active")</f>
        <v>19</v>
      </c>
      <c r="J16" s="26"/>
      <c r="K16" s="26"/>
      <c r="L16" s="26"/>
      <c r="M16" s="26"/>
      <c r="N16" s="26"/>
      <c r="O16" s="26"/>
      <c r="P16" s="26"/>
      <c r="Q16" s="26"/>
      <c r="R16" s="26"/>
    </row>
    <row r="17" spans="2:18">
      <c r="B17" s="26"/>
      <c r="C17" s="121"/>
      <c r="D17" s="122"/>
      <c r="E17" s="105"/>
      <c r="F17" s="24"/>
      <c r="G17" s="97"/>
      <c r="H17" s="98"/>
      <c r="I17" s="123"/>
      <c r="J17" s="26"/>
      <c r="K17" s="26"/>
      <c r="L17" s="26"/>
      <c r="M17" s="26"/>
      <c r="N17" s="26"/>
      <c r="O17" s="26"/>
      <c r="P17" s="26"/>
      <c r="Q17" s="26"/>
      <c r="R17" s="26"/>
    </row>
    <row r="18" spans="2:18" ht="15" customHeight="1">
      <c r="B18" s="26"/>
      <c r="C18" s="24"/>
      <c r="D18" s="24"/>
      <c r="E18" s="54"/>
      <c r="F18" s="24"/>
      <c r="G18" s="24"/>
      <c r="H18" s="24"/>
      <c r="I18" s="54"/>
      <c r="J18" s="26"/>
      <c r="K18" s="26"/>
      <c r="L18" s="26"/>
      <c r="M18" s="26"/>
      <c r="N18" s="26"/>
      <c r="O18" s="26"/>
      <c r="P18" s="26"/>
      <c r="Q18" s="26"/>
      <c r="R18" s="26"/>
    </row>
    <row r="19" spans="2:18" ht="15.75" customHeight="1">
      <c r="B19" s="26"/>
      <c r="C19" s="110" t="s">
        <v>10</v>
      </c>
      <c r="D19" s="111"/>
      <c r="E19" s="104">
        <f>COUNTIFS(Machines!E:E,"TR",Machines!G:G,"Active")</f>
        <v>39</v>
      </c>
      <c r="F19" s="24"/>
      <c r="G19" s="60"/>
      <c r="H19" s="60"/>
      <c r="I19" s="61"/>
      <c r="J19" s="26"/>
      <c r="K19" s="26"/>
      <c r="L19" s="26"/>
      <c r="M19" s="26"/>
      <c r="N19" s="26"/>
      <c r="O19" s="26"/>
      <c r="P19" s="26"/>
      <c r="Q19" s="26"/>
      <c r="R19" s="26"/>
    </row>
    <row r="20" spans="2:18" ht="15" customHeight="1">
      <c r="B20" s="26"/>
      <c r="C20" s="112"/>
      <c r="D20" s="113"/>
      <c r="E20" s="104"/>
      <c r="F20" s="24"/>
      <c r="G20" s="60"/>
      <c r="H20" s="60"/>
      <c r="I20" s="61"/>
      <c r="J20" s="26"/>
      <c r="K20" s="26"/>
      <c r="L20" s="26"/>
      <c r="M20" s="26"/>
      <c r="N20" s="26"/>
      <c r="O20" s="26"/>
      <c r="P20" s="26"/>
      <c r="Q20" s="26"/>
      <c r="R20" s="26"/>
    </row>
    <row r="21" spans="2:18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2:18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2:18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2:18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2:18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2:18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38" spans="19:21">
      <c r="S38" s="25" t="s">
        <v>12</v>
      </c>
      <c r="T38" s="25" t="s">
        <v>2</v>
      </c>
      <c r="U38" t="s">
        <v>13</v>
      </c>
    </row>
    <row r="39" spans="19:21">
      <c r="S39" t="s">
        <v>14</v>
      </c>
      <c r="T39" t="s">
        <v>4</v>
      </c>
      <c r="U39">
        <v>42</v>
      </c>
    </row>
    <row r="40" spans="19:21">
      <c r="S40"/>
      <c r="T40" t="s">
        <v>8</v>
      </c>
      <c r="U40">
        <v>19</v>
      </c>
    </row>
    <row r="41" spans="19:21">
      <c r="S41"/>
      <c r="T41" t="s">
        <v>7</v>
      </c>
      <c r="U41">
        <v>157</v>
      </c>
    </row>
    <row r="42" spans="19:21">
      <c r="S42"/>
      <c r="T42" t="s">
        <v>10</v>
      </c>
      <c r="U42">
        <v>39</v>
      </c>
    </row>
    <row r="43" spans="19:21">
      <c r="S43"/>
      <c r="T43" t="s">
        <v>9</v>
      </c>
      <c r="U43">
        <v>19</v>
      </c>
    </row>
    <row r="44" spans="19:21">
      <c r="S44" t="s">
        <v>5</v>
      </c>
      <c r="T44"/>
      <c r="U44">
        <v>276</v>
      </c>
    </row>
    <row r="45" spans="19:21">
      <c r="S45"/>
      <c r="T45"/>
      <c r="U45"/>
    </row>
    <row r="46" spans="19:21">
      <c r="S46"/>
      <c r="T46"/>
      <c r="U46"/>
    </row>
    <row r="47" spans="19:21">
      <c r="S47"/>
      <c r="T47"/>
      <c r="U47"/>
    </row>
    <row r="48" spans="19:21">
      <c r="S48"/>
      <c r="T48"/>
      <c r="U48"/>
    </row>
    <row r="49" spans="19:21">
      <c r="S49"/>
      <c r="T49"/>
      <c r="U49"/>
    </row>
    <row r="50" spans="19:21">
      <c r="S50"/>
      <c r="T50"/>
      <c r="U50"/>
    </row>
    <row r="51" spans="19:21">
      <c r="S51"/>
      <c r="T51"/>
      <c r="U51"/>
    </row>
    <row r="52" spans="19:21">
      <c r="S52"/>
      <c r="T52"/>
      <c r="U52"/>
    </row>
    <row r="53" spans="19:21">
      <c r="S53"/>
      <c r="T53"/>
      <c r="U53"/>
    </row>
    <row r="54" spans="19:21">
      <c r="S54"/>
      <c r="T54"/>
      <c r="U54"/>
    </row>
    <row r="55" spans="19:21">
      <c r="S55"/>
      <c r="T55"/>
      <c r="U55"/>
    </row>
    <row r="56" spans="19:21">
      <c r="S56"/>
      <c r="T56"/>
    </row>
    <row r="57" spans="19:21">
      <c r="S57"/>
      <c r="T57"/>
    </row>
    <row r="58" spans="19:21">
      <c r="S58"/>
      <c r="T58"/>
    </row>
    <row r="59" spans="19:21">
      <c r="S59"/>
      <c r="T59"/>
    </row>
    <row r="60" spans="19:21">
      <c r="S60"/>
      <c r="T60"/>
    </row>
    <row r="61" spans="19:21">
      <c r="S61"/>
      <c r="T61"/>
    </row>
    <row r="62" spans="19:21">
      <c r="S62"/>
      <c r="T62"/>
    </row>
    <row r="63" spans="19:21">
      <c r="S63"/>
      <c r="T63"/>
    </row>
    <row r="64" spans="19:21">
      <c r="S64"/>
      <c r="T64"/>
    </row>
    <row r="65" spans="19:20">
      <c r="S65"/>
      <c r="T65"/>
    </row>
    <row r="66" spans="19:20">
      <c r="S66"/>
      <c r="T66"/>
    </row>
    <row r="67" spans="19:20">
      <c r="S67"/>
      <c r="T67"/>
    </row>
    <row r="68" spans="19:20">
      <c r="S68"/>
      <c r="T68"/>
    </row>
    <row r="69" spans="19:20">
      <c r="S69"/>
      <c r="T69"/>
    </row>
    <row r="70" spans="19:20">
      <c r="S70"/>
      <c r="T70"/>
    </row>
    <row r="71" spans="19:20">
      <c r="S71"/>
      <c r="T71"/>
    </row>
    <row r="72" spans="19:20">
      <c r="S72"/>
      <c r="T72"/>
    </row>
    <row r="73" spans="19:20">
      <c r="S73"/>
      <c r="T73"/>
    </row>
    <row r="74" spans="19:20">
      <c r="S74"/>
      <c r="T74"/>
    </row>
    <row r="75" spans="19:20">
      <c r="S75"/>
      <c r="T75"/>
    </row>
    <row r="76" spans="19:20">
      <c r="S76"/>
      <c r="T76"/>
    </row>
    <row r="77" spans="19:20">
      <c r="S77"/>
      <c r="T77"/>
    </row>
    <row r="78" spans="19:20">
      <c r="S78"/>
      <c r="T78"/>
    </row>
    <row r="79" spans="19:20">
      <c r="S79"/>
      <c r="T79"/>
    </row>
    <row r="80" spans="19:20">
      <c r="S80"/>
      <c r="T80"/>
    </row>
    <row r="81" spans="19:20">
      <c r="S81"/>
      <c r="T81"/>
    </row>
    <row r="82" spans="19:20">
      <c r="S82"/>
      <c r="T82"/>
    </row>
    <row r="83" spans="19:20">
      <c r="S83"/>
      <c r="T83"/>
    </row>
    <row r="84" spans="19:20">
      <c r="S84"/>
      <c r="T84"/>
    </row>
    <row r="85" spans="19:20">
      <c r="S85"/>
      <c r="T85"/>
    </row>
    <row r="86" spans="19:20">
      <c r="S86"/>
      <c r="T86"/>
    </row>
    <row r="87" spans="19:20">
      <c r="S87"/>
      <c r="T87"/>
    </row>
    <row r="88" spans="19:20">
      <c r="S88"/>
      <c r="T88"/>
    </row>
    <row r="89" spans="19:20">
      <c r="S89"/>
      <c r="T89"/>
    </row>
    <row r="90" spans="19:20">
      <c r="S90"/>
      <c r="T90"/>
    </row>
    <row r="91" spans="19:20">
      <c r="S91"/>
      <c r="T91"/>
    </row>
    <row r="92" spans="19:20">
      <c r="S92"/>
      <c r="T92"/>
    </row>
  </sheetData>
  <mergeCells count="17">
    <mergeCell ref="C19:D20"/>
    <mergeCell ref="E19:E20"/>
    <mergeCell ref="E9:F10"/>
    <mergeCell ref="G9:G10"/>
    <mergeCell ref="C13:D14"/>
    <mergeCell ref="E13:E14"/>
    <mergeCell ref="G13:H14"/>
    <mergeCell ref="I13:I14"/>
    <mergeCell ref="C16:D17"/>
    <mergeCell ref="E16:E17"/>
    <mergeCell ref="G16:H17"/>
    <mergeCell ref="I16:I17"/>
    <mergeCell ref="L2:M3"/>
    <mergeCell ref="O2:P3"/>
    <mergeCell ref="C2:D3"/>
    <mergeCell ref="I2:J3"/>
    <mergeCell ref="F2:G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5A9C-37ED-44DB-9DBE-FA060DED544F}">
  <dimension ref="B2:AD78"/>
  <sheetViews>
    <sheetView showGridLines="0" showRowColHeaders="0" workbookViewId="0">
      <selection activeCell="L2" sqref="L2:M3"/>
    </sheetView>
  </sheetViews>
  <sheetFormatPr defaultRowHeight="15"/>
  <cols>
    <col min="1" max="4" width="9.140625" style="23"/>
    <col min="5" max="5" width="9.85546875" style="23" customWidth="1"/>
    <col min="6" max="22" width="9.140625" style="23"/>
    <col min="23" max="23" width="23" style="23" bestFit="1" customWidth="1"/>
    <col min="24" max="24" width="18" style="23" bestFit="1" customWidth="1"/>
    <col min="25" max="25" width="8.42578125" style="23" bestFit="1" customWidth="1"/>
    <col min="26" max="26" width="5.7109375" style="23" bestFit="1" customWidth="1"/>
    <col min="27" max="27" width="3.28515625" style="23" bestFit="1" customWidth="1"/>
    <col min="28" max="31" width="11.42578125" style="23" bestFit="1" customWidth="1"/>
    <col min="32" max="32" width="4.85546875" style="23" bestFit="1" customWidth="1"/>
    <col min="33" max="33" width="11.42578125" style="23" bestFit="1" customWidth="1"/>
    <col min="34" max="34" width="2" style="23" bestFit="1" customWidth="1"/>
    <col min="35" max="42" width="3" style="23" bestFit="1" customWidth="1"/>
    <col min="43" max="43" width="8.42578125" style="23" bestFit="1" customWidth="1"/>
    <col min="44" max="44" width="10" style="23" bestFit="1" customWidth="1"/>
    <col min="45" max="45" width="8" style="23" bestFit="1" customWidth="1"/>
    <col min="46" max="46" width="2" style="23" bestFit="1" customWidth="1"/>
    <col min="47" max="62" width="3" style="23" bestFit="1" customWidth="1"/>
    <col min="63" max="63" width="8.42578125" style="23" bestFit="1" customWidth="1"/>
    <col min="64" max="64" width="10.85546875" style="23" bestFit="1" customWidth="1"/>
    <col min="65" max="65" width="4.42578125" style="23" bestFit="1" customWidth="1"/>
    <col min="66" max="72" width="3" style="23" bestFit="1" customWidth="1"/>
    <col min="73" max="73" width="7.28515625" style="23" bestFit="1" customWidth="1"/>
    <col min="74" max="74" width="6.42578125" style="23" bestFit="1" customWidth="1"/>
    <col min="75" max="78" width="3" style="23" bestFit="1" customWidth="1"/>
    <col min="79" max="79" width="9.42578125" style="23" bestFit="1" customWidth="1"/>
    <col min="80" max="80" width="11.140625" style="23" bestFit="1" customWidth="1"/>
    <col min="81" max="82" width="3" style="23" bestFit="1" customWidth="1"/>
    <col min="83" max="83" width="9.42578125" style="23" bestFit="1" customWidth="1"/>
    <col min="84" max="85" width="11.140625" style="23" bestFit="1" customWidth="1"/>
    <col min="86" max="86" width="6.42578125" style="23" bestFit="1" customWidth="1"/>
    <col min="87" max="90" width="3" style="23" bestFit="1" customWidth="1"/>
    <col min="91" max="91" width="9.42578125" style="23" bestFit="1" customWidth="1"/>
    <col min="92" max="92" width="11.140625" style="23" bestFit="1" customWidth="1"/>
    <col min="93" max="16384" width="9.140625" style="23"/>
  </cols>
  <sheetData>
    <row r="2" spans="2:18" ht="17.25">
      <c r="C2" s="134" t="str">
        <f>HYPERLINK("#" &amp; "Overview!D2","Overview")</f>
        <v>Overview</v>
      </c>
      <c r="D2" s="135"/>
      <c r="E2" s="55"/>
      <c r="F2" s="124" t="str">
        <f>HYPERLINK("#" &amp; "Running!G2","Running")</f>
        <v>Running</v>
      </c>
      <c r="G2" s="131"/>
      <c r="H2" s="55"/>
      <c r="I2" s="130" t="s">
        <v>15</v>
      </c>
      <c r="J2" s="130"/>
      <c r="K2" s="55"/>
      <c r="L2" s="124" t="str">
        <f>HYPERLINK("#" &amp; "Advantis!L2","Advantis")</f>
        <v>Advantis</v>
      </c>
      <c r="M2" s="125"/>
      <c r="N2" s="55"/>
      <c r="O2" s="128" t="str">
        <f>HYPERLINK("#" &amp; "Services!A1","Service")</f>
        <v>Service</v>
      </c>
      <c r="P2" s="129"/>
    </row>
    <row r="3" spans="2:18" ht="17.25">
      <c r="C3" s="136"/>
      <c r="D3" s="137"/>
      <c r="E3" s="55"/>
      <c r="F3" s="132"/>
      <c r="G3" s="133"/>
      <c r="H3" s="55"/>
      <c r="I3" s="130"/>
      <c r="J3" s="130"/>
      <c r="K3" s="55"/>
      <c r="L3" s="126"/>
      <c r="M3" s="127"/>
      <c r="N3" s="55"/>
      <c r="O3" s="129"/>
      <c r="P3" s="129"/>
    </row>
    <row r="4" spans="2:18">
      <c r="K4" s="28"/>
    </row>
    <row r="6" spans="2:18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2:18">
      <c r="B7" s="24"/>
      <c r="C7" s="24"/>
      <c r="D7" s="24"/>
      <c r="E7" s="24"/>
      <c r="F7" s="24"/>
      <c r="G7" s="24"/>
      <c r="H7" s="24"/>
      <c r="I7" s="26"/>
      <c r="J7" s="26"/>
      <c r="K7" s="24"/>
      <c r="L7" s="24"/>
      <c r="M7" s="24"/>
      <c r="N7" s="24"/>
      <c r="O7" s="24"/>
      <c r="P7" s="24"/>
      <c r="Q7" s="24"/>
      <c r="R7" s="24"/>
    </row>
    <row r="8" spans="2:18" ht="15" customHeight="1">
      <c r="B8" s="24"/>
      <c r="C8" s="24"/>
      <c r="D8" s="24"/>
      <c r="E8" s="24"/>
      <c r="F8" s="24"/>
      <c r="G8" s="24"/>
      <c r="H8" s="62"/>
      <c r="I8" s="143"/>
      <c r="J8" s="26"/>
      <c r="K8" s="24"/>
      <c r="L8" s="24"/>
      <c r="M8" s="24"/>
      <c r="N8" s="24"/>
      <c r="O8" s="24"/>
      <c r="P8" s="24"/>
      <c r="Q8" s="24"/>
      <c r="R8" s="24"/>
    </row>
    <row r="9" spans="2:18" ht="15" customHeight="1">
      <c r="B9" s="24"/>
      <c r="C9" s="24"/>
      <c r="D9" s="24"/>
      <c r="E9" s="144" t="s">
        <v>16</v>
      </c>
      <c r="F9" s="145"/>
      <c r="G9" s="94">
        <f>E13+E16+I13+F21</f>
        <v>18</v>
      </c>
      <c r="H9" s="24"/>
      <c r="I9" s="143"/>
      <c r="J9" s="26"/>
      <c r="K9" s="24"/>
      <c r="L9" s="24"/>
      <c r="M9" s="24"/>
      <c r="N9" s="24"/>
      <c r="O9" s="24"/>
      <c r="P9" s="24"/>
      <c r="Q9" s="24"/>
      <c r="R9" s="24"/>
    </row>
    <row r="10" spans="2:18">
      <c r="B10" s="24"/>
      <c r="C10" s="24"/>
      <c r="D10" s="24"/>
      <c r="E10" s="146"/>
      <c r="F10" s="147"/>
      <c r="G10" s="94"/>
      <c r="H10" s="24"/>
      <c r="I10" s="26"/>
      <c r="J10" s="26"/>
      <c r="K10" s="24"/>
      <c r="L10" s="24"/>
      <c r="M10" s="24"/>
      <c r="N10" s="24"/>
      <c r="O10" s="24"/>
      <c r="P10" s="24"/>
      <c r="Q10" s="24"/>
      <c r="R10" s="24"/>
    </row>
    <row r="11" spans="2:18" ht="15" customHeight="1">
      <c r="B11" s="24"/>
      <c r="C11" s="24"/>
      <c r="D11" s="24"/>
      <c r="E11" s="24"/>
      <c r="F11" s="54"/>
      <c r="G11" s="143"/>
      <c r="H11" s="143"/>
      <c r="I11" s="143"/>
      <c r="J11" s="26"/>
      <c r="K11" s="24"/>
      <c r="L11" s="24"/>
      <c r="M11" s="24"/>
      <c r="N11" s="24"/>
      <c r="O11" s="24"/>
      <c r="P11" s="24"/>
      <c r="Q11" s="24"/>
      <c r="R11" s="24"/>
    </row>
    <row r="12" spans="2:18" ht="15" customHeight="1">
      <c r="B12" s="24"/>
      <c r="C12" s="24"/>
      <c r="D12" s="24"/>
      <c r="E12" s="24"/>
      <c r="F12" s="24"/>
      <c r="G12" s="143"/>
      <c r="H12" s="143"/>
      <c r="I12" s="143"/>
      <c r="J12" s="26"/>
      <c r="K12" s="24"/>
      <c r="L12" s="24"/>
      <c r="M12" s="24"/>
      <c r="N12" s="24"/>
      <c r="O12" s="24"/>
      <c r="P12" s="24"/>
      <c r="Q12" s="24"/>
      <c r="R12" s="24"/>
    </row>
    <row r="13" spans="2:18" ht="15" customHeight="1">
      <c r="B13" s="24"/>
      <c r="C13" s="155" t="s">
        <v>17</v>
      </c>
      <c r="D13" s="156"/>
      <c r="E13" s="149">
        <f>COUNTIF(Machines!F:F,"Batch Parking")</f>
        <v>7</v>
      </c>
      <c r="F13" s="24"/>
      <c r="G13" s="159" t="s">
        <v>18</v>
      </c>
      <c r="H13" s="160"/>
      <c r="I13" s="154">
        <f>COUNTIF(Machines!F:F,"Training (M/C)")</f>
        <v>1</v>
      </c>
      <c r="J13" s="26"/>
      <c r="K13" s="24"/>
      <c r="L13" s="24"/>
      <c r="M13" s="24"/>
      <c r="N13" s="24"/>
      <c r="O13" s="24"/>
      <c r="P13" s="24"/>
      <c r="Q13" s="24"/>
      <c r="R13" s="24"/>
    </row>
    <row r="14" spans="2:18" ht="15" customHeight="1">
      <c r="B14" s="24"/>
      <c r="C14" s="157"/>
      <c r="D14" s="158"/>
      <c r="E14" s="149"/>
      <c r="F14" s="24"/>
      <c r="G14" s="161"/>
      <c r="H14" s="162"/>
      <c r="I14" s="154"/>
      <c r="J14" s="26"/>
      <c r="K14" s="24"/>
      <c r="L14" s="24"/>
      <c r="M14" s="24"/>
      <c r="N14" s="24"/>
      <c r="O14" s="24"/>
      <c r="P14" s="24"/>
      <c r="Q14" s="24"/>
      <c r="R14" s="24"/>
    </row>
    <row r="15" spans="2:18" ht="15" customHeight="1">
      <c r="B15" s="24"/>
      <c r="C15" s="24"/>
      <c r="D15" s="24"/>
      <c r="E15" s="24"/>
      <c r="F15" s="24"/>
      <c r="G15" s="58"/>
      <c r="H15" s="58"/>
      <c r="I15" s="57"/>
      <c r="J15" s="26"/>
      <c r="K15" s="24"/>
      <c r="L15" s="24"/>
      <c r="M15" s="24"/>
      <c r="N15" s="24"/>
      <c r="O15" s="24"/>
      <c r="P15" s="24"/>
      <c r="Q15" s="24"/>
      <c r="R15" s="24"/>
    </row>
    <row r="16" spans="2:18">
      <c r="B16" s="27"/>
      <c r="C16" s="150" t="s">
        <v>19</v>
      </c>
      <c r="D16" s="151"/>
      <c r="E16" s="148">
        <f>COUNTIF(Machines!F:F,"Pathway Parking")</f>
        <v>10</v>
      </c>
      <c r="F16" s="24"/>
      <c r="G16" s="24"/>
      <c r="H16" s="24"/>
      <c r="I16" s="26"/>
      <c r="J16" s="26"/>
      <c r="K16" s="24"/>
      <c r="L16" s="24"/>
      <c r="M16" s="24"/>
      <c r="N16" s="24"/>
      <c r="O16" s="24"/>
      <c r="P16" s="24"/>
      <c r="Q16" s="24"/>
      <c r="R16" s="24"/>
    </row>
    <row r="17" spans="2:18" ht="15" customHeight="1">
      <c r="B17" s="27"/>
      <c r="C17" s="152"/>
      <c r="D17" s="153"/>
      <c r="E17" s="148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2:18" ht="15" customHeight="1">
      <c r="B18" s="27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2:18">
      <c r="B19" s="27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2:18" ht="15" customHeight="1">
      <c r="B20" s="27"/>
      <c r="C20" s="53"/>
      <c r="D20" s="53"/>
      <c r="E20" s="53"/>
      <c r="F20" s="66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2:18" ht="15" customHeight="1">
      <c r="B21" s="27"/>
      <c r="C21" s="60"/>
      <c r="D21" s="60"/>
      <c r="E21" s="60"/>
      <c r="F21" s="61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2:18" ht="15.75" customHeight="1">
      <c r="B22" s="27"/>
      <c r="C22" s="60"/>
      <c r="D22" s="60"/>
      <c r="E22" s="67"/>
      <c r="F22" s="67"/>
      <c r="G22" s="53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2:18" ht="15" customHeight="1">
      <c r="B23" s="27"/>
      <c r="C23" s="24"/>
      <c r="D23" s="24"/>
      <c r="E23" s="67"/>
      <c r="F23" s="67"/>
      <c r="G23" s="24"/>
      <c r="H23" s="24"/>
      <c r="I23" s="60"/>
      <c r="J23" s="24"/>
      <c r="K23" s="24"/>
      <c r="L23" s="24"/>
      <c r="M23" s="24"/>
      <c r="N23" s="24"/>
      <c r="O23" s="24"/>
      <c r="P23" s="24"/>
      <c r="Q23" s="24"/>
      <c r="R23" s="24"/>
    </row>
    <row r="24" spans="2:18" ht="15" customHeight="1">
      <c r="B24" s="27"/>
      <c r="C24" s="24"/>
      <c r="D24" s="24"/>
      <c r="E24" s="24"/>
      <c r="F24" s="24"/>
      <c r="G24" s="24"/>
      <c r="H24" s="24"/>
      <c r="I24" s="60"/>
      <c r="J24" s="24"/>
      <c r="K24" s="24"/>
      <c r="L24" s="24"/>
      <c r="M24" s="24"/>
      <c r="N24" s="24"/>
      <c r="O24" s="24"/>
      <c r="P24" s="24"/>
      <c r="Q24" s="24"/>
      <c r="R24" s="24"/>
    </row>
    <row r="25" spans="2:18" ht="17.25">
      <c r="B25" s="27"/>
      <c r="C25" s="27"/>
      <c r="D25" s="27"/>
      <c r="E25" s="24"/>
      <c r="F25" s="24"/>
      <c r="G25" s="24"/>
      <c r="H25" s="24"/>
      <c r="I25" s="24"/>
      <c r="J25" s="54"/>
      <c r="K25" s="24"/>
      <c r="L25" s="24"/>
      <c r="M25" s="24"/>
      <c r="N25" s="24"/>
      <c r="O25" s="24"/>
      <c r="P25" s="24"/>
      <c r="Q25" s="24"/>
      <c r="R25" s="24"/>
    </row>
    <row r="26" spans="2:18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2:18">
      <c r="F27" s="63"/>
      <c r="G27" s="63"/>
      <c r="H27" s="63"/>
      <c r="I27" s="63"/>
      <c r="J27" s="63"/>
      <c r="K27" s="63"/>
    </row>
    <row r="28" spans="2:18" ht="17.25">
      <c r="F28" s="63"/>
      <c r="G28" s="63"/>
      <c r="H28" s="63"/>
      <c r="I28" s="63"/>
      <c r="J28" s="64"/>
      <c r="K28" s="63"/>
    </row>
    <row r="29" spans="2:18">
      <c r="F29" s="63"/>
      <c r="G29" s="63"/>
      <c r="H29" s="63"/>
      <c r="I29" s="65"/>
      <c r="J29" s="63"/>
      <c r="K29" s="63"/>
    </row>
    <row r="30" spans="2:18">
      <c r="F30" s="63"/>
      <c r="G30" s="63"/>
      <c r="H30" s="63"/>
      <c r="I30" s="65"/>
      <c r="J30" s="63"/>
      <c r="K30" s="63"/>
    </row>
    <row r="49" spans="23:30">
      <c r="W49" s="25" t="s">
        <v>13</v>
      </c>
      <c r="X49"/>
      <c r="Y49" s="25" t="s">
        <v>2</v>
      </c>
      <c r="Z49"/>
      <c r="AA49"/>
      <c r="AB49"/>
      <c r="AC49"/>
      <c r="AD49"/>
    </row>
    <row r="50" spans="23:30">
      <c r="W50" s="25" t="s">
        <v>12</v>
      </c>
      <c r="X50" s="25" t="s">
        <v>20</v>
      </c>
      <c r="Y50" t="s">
        <v>4</v>
      </c>
      <c r="Z50" t="s">
        <v>8</v>
      </c>
      <c r="AA50" t="s">
        <v>10</v>
      </c>
      <c r="AB50" t="s">
        <v>5</v>
      </c>
      <c r="AC50"/>
      <c r="AD50"/>
    </row>
    <row r="51" spans="23:30">
      <c r="W51" t="s">
        <v>21</v>
      </c>
      <c r="X51" t="s">
        <v>22</v>
      </c>
      <c r="Y51">
        <v>1</v>
      </c>
      <c r="Z51"/>
      <c r="AA51">
        <v>6</v>
      </c>
      <c r="AB51">
        <v>7</v>
      </c>
      <c r="AC51"/>
      <c r="AD51"/>
    </row>
    <row r="52" spans="23:30">
      <c r="W52"/>
      <c r="X52" t="s">
        <v>23</v>
      </c>
      <c r="Y52"/>
      <c r="Z52">
        <v>8</v>
      </c>
      <c r="AA52">
        <v>2</v>
      </c>
      <c r="AB52">
        <v>10</v>
      </c>
      <c r="AC52"/>
      <c r="AD52"/>
    </row>
    <row r="53" spans="23:30">
      <c r="W53"/>
      <c r="X53" t="s">
        <v>24</v>
      </c>
      <c r="Y53"/>
      <c r="Z53">
        <v>1</v>
      </c>
      <c r="AA53"/>
      <c r="AB53">
        <v>1</v>
      </c>
      <c r="AC53"/>
      <c r="AD53"/>
    </row>
    <row r="54" spans="23:30">
      <c r="W54" t="s">
        <v>25</v>
      </c>
      <c r="X54"/>
      <c r="Y54">
        <v>1</v>
      </c>
      <c r="Z54">
        <v>9</v>
      </c>
      <c r="AA54">
        <v>8</v>
      </c>
      <c r="AB54">
        <v>18</v>
      </c>
      <c r="AC54"/>
      <c r="AD54"/>
    </row>
    <row r="55" spans="23:30">
      <c r="W55"/>
      <c r="X55"/>
      <c r="Y55"/>
      <c r="Z55"/>
      <c r="AA55"/>
      <c r="AB55"/>
      <c r="AC55"/>
      <c r="AD55"/>
    </row>
    <row r="56" spans="23:30">
      <c r="W56"/>
      <c r="X56"/>
      <c r="Y56"/>
      <c r="Z56"/>
      <c r="AA56"/>
      <c r="AB56"/>
      <c r="AC56"/>
      <c r="AD56"/>
    </row>
    <row r="57" spans="23:30">
      <c r="W57"/>
      <c r="X57"/>
      <c r="Y57"/>
      <c r="Z57"/>
      <c r="AA57"/>
      <c r="AB57"/>
      <c r="AC57"/>
      <c r="AD57"/>
    </row>
    <row r="58" spans="23:30">
      <c r="W58"/>
      <c r="X58"/>
      <c r="Y58"/>
      <c r="Z58"/>
      <c r="AA58"/>
      <c r="AB58"/>
      <c r="AC58"/>
      <c r="AD58"/>
    </row>
    <row r="59" spans="23:30">
      <c r="W59"/>
      <c r="X59"/>
      <c r="Y59"/>
      <c r="Z59"/>
      <c r="AA59"/>
      <c r="AB59"/>
      <c r="AC59"/>
      <c r="AD59"/>
    </row>
    <row r="60" spans="23:30">
      <c r="W60"/>
      <c r="X60"/>
      <c r="Y60"/>
      <c r="Z60"/>
      <c r="AA60"/>
      <c r="AB60"/>
      <c r="AC60"/>
      <c r="AD60"/>
    </row>
    <row r="61" spans="23:30">
      <c r="W61"/>
      <c r="X61"/>
      <c r="Y61"/>
      <c r="Z61"/>
      <c r="AA61"/>
      <c r="AB61"/>
      <c r="AC61"/>
      <c r="AD61"/>
    </row>
    <row r="62" spans="23:30">
      <c r="W62"/>
      <c r="X62"/>
      <c r="Y62"/>
      <c r="Z62"/>
      <c r="AA62"/>
      <c r="AB62"/>
      <c r="AC62"/>
      <c r="AD62"/>
    </row>
    <row r="63" spans="23:30">
      <c r="W63"/>
      <c r="X63"/>
      <c r="Y63"/>
      <c r="Z63"/>
      <c r="AA63"/>
      <c r="AB63"/>
      <c r="AC63"/>
      <c r="AD63"/>
    </row>
    <row r="64" spans="23:30">
      <c r="W64"/>
      <c r="X64"/>
      <c r="Y64"/>
      <c r="Z64"/>
      <c r="AA64"/>
      <c r="AB64"/>
      <c r="AC64"/>
      <c r="AD64"/>
    </row>
    <row r="65" spans="23:30">
      <c r="W65"/>
      <c r="X65"/>
      <c r="Y65"/>
      <c r="Z65"/>
      <c r="AA65"/>
      <c r="AB65"/>
      <c r="AC65"/>
      <c r="AD65"/>
    </row>
    <row r="66" spans="23:30">
      <c r="W66"/>
      <c r="X66"/>
      <c r="Y66"/>
      <c r="Z66"/>
      <c r="AA66"/>
      <c r="AB66"/>
      <c r="AC66"/>
      <c r="AD66"/>
    </row>
    <row r="67" spans="23:30">
      <c r="W67"/>
      <c r="X67"/>
      <c r="Y67"/>
      <c r="Z67"/>
      <c r="AA67"/>
      <c r="AB67"/>
      <c r="AC67"/>
      <c r="AD67"/>
    </row>
    <row r="68" spans="23:30">
      <c r="W68"/>
      <c r="X68"/>
      <c r="Y68"/>
      <c r="Z68"/>
      <c r="AA68"/>
      <c r="AB68"/>
      <c r="AC68"/>
      <c r="AD68"/>
    </row>
    <row r="69" spans="23:30">
      <c r="W69"/>
      <c r="X69"/>
      <c r="Y69"/>
      <c r="Z69"/>
      <c r="AA69"/>
      <c r="AB69"/>
      <c r="AC69"/>
      <c r="AD69"/>
    </row>
    <row r="70" spans="23:30">
      <c r="W70"/>
      <c r="X70"/>
      <c r="Y70"/>
      <c r="Z70"/>
      <c r="AA70"/>
      <c r="AB70"/>
      <c r="AC70"/>
      <c r="AD70"/>
    </row>
    <row r="71" spans="23:30">
      <c r="W71"/>
      <c r="X71"/>
      <c r="Y71"/>
      <c r="Z71"/>
      <c r="AA71"/>
      <c r="AB71"/>
      <c r="AC71"/>
      <c r="AD71"/>
    </row>
    <row r="72" spans="23:30">
      <c r="W72"/>
      <c r="X72"/>
      <c r="Y72"/>
      <c r="Z72"/>
      <c r="AA72"/>
      <c r="AB72"/>
      <c r="AC72"/>
      <c r="AD72"/>
    </row>
    <row r="73" spans="23:30">
      <c r="W73"/>
      <c r="X73"/>
      <c r="Y73"/>
      <c r="Z73"/>
      <c r="AA73"/>
      <c r="AB73"/>
      <c r="AC73"/>
      <c r="AD73"/>
    </row>
    <row r="74" spans="23:30">
      <c r="W74"/>
      <c r="X74"/>
      <c r="Y74"/>
      <c r="Z74"/>
      <c r="AA74"/>
      <c r="AB74"/>
      <c r="AC74"/>
      <c r="AD74"/>
    </row>
    <row r="75" spans="23:30">
      <c r="W75"/>
      <c r="X75"/>
      <c r="Y75"/>
      <c r="Z75"/>
      <c r="AA75"/>
      <c r="AB75"/>
      <c r="AC75"/>
      <c r="AD75"/>
    </row>
    <row r="76" spans="23:30">
      <c r="W76"/>
      <c r="X76"/>
      <c r="Y76"/>
      <c r="Z76"/>
      <c r="AA76"/>
      <c r="AB76"/>
      <c r="AC76"/>
      <c r="AD76"/>
    </row>
    <row r="77" spans="23:30">
      <c r="W77"/>
      <c r="X77"/>
      <c r="Y77"/>
      <c r="Z77"/>
      <c r="AA77"/>
      <c r="AB77"/>
      <c r="AC77"/>
      <c r="AD77"/>
    </row>
    <row r="78" spans="23:30">
      <c r="W78"/>
      <c r="X78"/>
      <c r="Y78"/>
      <c r="Z78"/>
      <c r="AA78"/>
      <c r="AB78"/>
      <c r="AC78"/>
      <c r="AD78"/>
    </row>
  </sheetData>
  <mergeCells count="16">
    <mergeCell ref="E16:E17"/>
    <mergeCell ref="E13:E14"/>
    <mergeCell ref="C16:D17"/>
    <mergeCell ref="L2:M3"/>
    <mergeCell ref="I13:I14"/>
    <mergeCell ref="G11:H12"/>
    <mergeCell ref="C13:D14"/>
    <mergeCell ref="G13:H14"/>
    <mergeCell ref="I11:I12"/>
    <mergeCell ref="O2:P3"/>
    <mergeCell ref="I8:I9"/>
    <mergeCell ref="C2:D3"/>
    <mergeCell ref="I2:J3"/>
    <mergeCell ref="F2:G3"/>
    <mergeCell ref="E9:F10"/>
    <mergeCell ref="G9:G10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4D94-13EF-4161-A2AD-CB18B8BF7E4F}">
  <dimension ref="B2:AJ71"/>
  <sheetViews>
    <sheetView showGridLines="0" showRowColHeaders="0" topLeftCell="O2" workbookViewId="0">
      <selection activeCell="O2" sqref="O2:P3"/>
    </sheetView>
  </sheetViews>
  <sheetFormatPr defaultRowHeight="15"/>
  <cols>
    <col min="1" max="4" width="9.140625" style="30"/>
    <col min="5" max="5" width="9.85546875" style="30" customWidth="1"/>
    <col min="6" max="18" width="9.140625" style="30"/>
    <col min="19" max="19" width="12.5703125" style="30" bestFit="1" customWidth="1"/>
    <col min="20" max="20" width="19.28515625" style="30" bestFit="1" customWidth="1"/>
    <col min="21" max="21" width="8.42578125" style="30" bestFit="1" customWidth="1"/>
    <col min="22" max="22" width="11.42578125" style="30" bestFit="1" customWidth="1"/>
    <col min="23" max="23" width="4.7109375" style="30" bestFit="1" customWidth="1"/>
    <col min="24" max="24" width="5.7109375" style="30" bestFit="1" customWidth="1"/>
    <col min="25" max="26" width="11.42578125" style="30" bestFit="1" customWidth="1"/>
    <col min="27" max="28" width="3.28515625" style="30" bestFit="1" customWidth="1"/>
    <col min="29" max="29" width="19.28515625" style="30" bestFit="1" customWidth="1"/>
    <col min="30" max="30" width="8.42578125" style="30" bestFit="1" customWidth="1"/>
    <col min="31" max="31" width="4.28515625" style="30" bestFit="1" customWidth="1"/>
    <col min="32" max="32" width="4.7109375" style="30" bestFit="1" customWidth="1"/>
    <col min="33" max="33" width="5.7109375" style="30" bestFit="1" customWidth="1"/>
    <col min="34" max="35" width="11.42578125" style="30" bestFit="1" customWidth="1"/>
    <col min="36" max="16384" width="9.140625" style="30"/>
  </cols>
  <sheetData>
    <row r="2" spans="2:18" ht="17.25">
      <c r="C2" s="134" t="str">
        <f>HYPERLINK("#" &amp; "Overview!D2","Overview")</f>
        <v>Overview</v>
      </c>
      <c r="D2" s="135"/>
      <c r="E2" s="56"/>
      <c r="F2" s="124" t="str">
        <f>HYPERLINK("#" &amp; "Running!G2","Running")</f>
        <v>Running</v>
      </c>
      <c r="G2" s="131"/>
      <c r="H2" s="56"/>
      <c r="I2" s="124" t="str">
        <f>HYPERLINK("#" &amp; "Parking!K2","Parking")</f>
        <v>Parking</v>
      </c>
      <c r="J2" s="125"/>
      <c r="K2" s="56"/>
      <c r="L2" s="182" t="s">
        <v>26</v>
      </c>
      <c r="M2" s="182"/>
      <c r="N2" s="56"/>
      <c r="O2" s="128" t="str">
        <f>HYPERLINK("#" &amp; "Services!A1","Service")</f>
        <v>Service</v>
      </c>
      <c r="P2" s="129"/>
    </row>
    <row r="3" spans="2:18" ht="17.25">
      <c r="C3" s="136"/>
      <c r="D3" s="137"/>
      <c r="E3" s="56"/>
      <c r="F3" s="132"/>
      <c r="G3" s="133"/>
      <c r="H3" s="56"/>
      <c r="I3" s="126"/>
      <c r="J3" s="127"/>
      <c r="K3" s="56"/>
      <c r="L3" s="182"/>
      <c r="M3" s="182"/>
      <c r="N3" s="56"/>
      <c r="O3" s="129"/>
      <c r="P3" s="129"/>
    </row>
    <row r="6" spans="2:18">
      <c r="B6"/>
      <c r="C6"/>
      <c r="D6"/>
      <c r="E6"/>
      <c r="F6"/>
      <c r="G6"/>
      <c r="H6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2:18" ht="15" customHeight="1">
      <c r="B7"/>
      <c r="C7"/>
      <c r="D7"/>
      <c r="E7"/>
      <c r="F7"/>
      <c r="G7"/>
      <c r="H7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2:18" ht="15" customHeight="1">
      <c r="B8"/>
      <c r="C8"/>
      <c r="D8"/>
      <c r="E8" s="178" t="s">
        <v>27</v>
      </c>
      <c r="F8" s="179"/>
      <c r="G8" s="177">
        <f>COUNTIF('Advantis Machines'!G:G,"Advantis Mothball")</f>
        <v>12</v>
      </c>
      <c r="H8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2:18" ht="15" customHeight="1">
      <c r="B9"/>
      <c r="C9"/>
      <c r="D9"/>
      <c r="E9" s="180"/>
      <c r="F9" s="181"/>
      <c r="G9" s="177"/>
      <c r="H9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2:18" ht="15" customHeight="1">
      <c r="B10"/>
      <c r="C10"/>
      <c r="D10"/>
      <c r="E10"/>
      <c r="F10"/>
      <c r="G10"/>
      <c r="H10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2:18" ht="15" customHeight="1">
      <c r="B11"/>
      <c r="C11"/>
      <c r="D11"/>
      <c r="E11"/>
      <c r="F11"/>
      <c r="G11"/>
      <c r="H11"/>
      <c r="I11" s="24"/>
      <c r="J11" s="24"/>
      <c r="K11" s="24"/>
      <c r="L11" s="24"/>
      <c r="M11" s="24"/>
      <c r="N11" s="24"/>
      <c r="O11" s="24"/>
      <c r="P11" s="24"/>
      <c r="Q11" s="24"/>
      <c r="R11" s="24"/>
    </row>
    <row r="12" spans="2:18">
      <c r="B12" s="24"/>
      <c r="C12" s="173" t="s">
        <v>8</v>
      </c>
      <c r="D12" s="174"/>
      <c r="E12" s="118">
        <f>COUNTIFS('Advantis Machines'!F:F,"TOP2",'Advantis Machines'!G:G,"Advantis Mothball")</f>
        <v>7</v>
      </c>
      <c r="F12"/>
      <c r="G12" s="163" t="s">
        <v>28</v>
      </c>
      <c r="H12" s="164"/>
      <c r="I12" s="167">
        <f>COUNTIFS('Advantis Machines'!F:F,"TOP",'Advantis Machines'!G:G,"Advantis Mothball")</f>
        <v>1</v>
      </c>
      <c r="J12" s="24"/>
      <c r="K12" s="24"/>
      <c r="L12" s="24"/>
      <c r="M12" s="24"/>
      <c r="N12" s="24"/>
      <c r="O12" s="24"/>
      <c r="P12" s="24"/>
      <c r="Q12" s="24"/>
      <c r="R12" s="24"/>
    </row>
    <row r="13" spans="2:18" ht="15" customHeight="1">
      <c r="B13" s="24"/>
      <c r="C13" s="175"/>
      <c r="D13" s="176"/>
      <c r="E13" s="118"/>
      <c r="F13"/>
      <c r="G13" s="165"/>
      <c r="H13" s="166"/>
      <c r="I13" s="167"/>
      <c r="J13" s="24"/>
      <c r="K13" s="24"/>
      <c r="L13" s="24"/>
      <c r="M13" s="24"/>
      <c r="N13" s="24"/>
      <c r="O13" s="24"/>
      <c r="P13" s="24"/>
      <c r="Q13" s="24"/>
      <c r="R13" s="24"/>
    </row>
    <row r="14" spans="2:18" ht="15" customHeight="1">
      <c r="B14" s="24"/>
      <c r="C14" s="24"/>
      <c r="D14"/>
      <c r="E14"/>
      <c r="F14"/>
      <c r="G1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2:18" ht="15" customHeight="1">
      <c r="B15" s="24"/>
      <c r="C15" s="26"/>
      <c r="D15" s="26"/>
      <c r="E15" s="26"/>
      <c r="F15"/>
      <c r="G15" s="26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2:18" ht="15" customHeight="1">
      <c r="B16" s="24"/>
      <c r="C16" s="119" t="s">
        <v>4</v>
      </c>
      <c r="D16" s="120"/>
      <c r="E16" s="105">
        <f>COUNTIFS('Advantis Machines'!F:F,"HIE",'Advantis Machines'!G:G,"Advantis Mothball")</f>
        <v>2</v>
      </c>
      <c r="F16"/>
      <c r="G16" s="168" t="s">
        <v>29</v>
      </c>
      <c r="H16" s="169"/>
      <c r="I16" s="172">
        <f>COUNTIFS('Advantis Machines'!F:F,"EVO4J",'Advantis Machines'!G:G,"Advantis Mothball")</f>
        <v>2</v>
      </c>
      <c r="J16" s="24"/>
      <c r="K16" s="24"/>
      <c r="L16" s="24"/>
      <c r="M16" s="24"/>
      <c r="N16" s="24"/>
      <c r="O16" s="24"/>
      <c r="P16" s="24"/>
      <c r="Q16" s="24"/>
      <c r="R16" s="24"/>
    </row>
    <row r="17" spans="2:18" ht="15" customHeight="1">
      <c r="B17" s="24"/>
      <c r="C17" s="121"/>
      <c r="D17" s="122"/>
      <c r="E17" s="105"/>
      <c r="F17"/>
      <c r="G17" s="170"/>
      <c r="H17" s="171"/>
      <c r="I17" s="172"/>
      <c r="J17" s="24"/>
      <c r="K17" s="24"/>
      <c r="L17" s="24"/>
      <c r="M17" s="24"/>
      <c r="N17" s="24"/>
      <c r="O17" s="24"/>
      <c r="P17" s="24"/>
      <c r="Q17" s="24"/>
      <c r="R17" s="24"/>
    </row>
    <row r="18" spans="2:18" ht="19.5">
      <c r="B18" s="24"/>
      <c r="C18" s="26"/>
      <c r="D18" s="26"/>
      <c r="E18" s="52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2:18" ht="15" customHeight="1">
      <c r="B19" s="24"/>
      <c r="C19"/>
      <c r="D19"/>
      <c r="E19"/>
      <c r="F19" s="24"/>
      <c r="G19"/>
      <c r="H19"/>
      <c r="I19"/>
      <c r="J19" s="24"/>
      <c r="K19" s="24"/>
      <c r="L19" s="24"/>
      <c r="M19" s="24"/>
      <c r="N19" s="24"/>
      <c r="O19" s="24"/>
      <c r="P19" s="24"/>
      <c r="Q19" s="24"/>
      <c r="R19" s="24"/>
    </row>
    <row r="20" spans="2:18" ht="15" customHeight="1">
      <c r="B20" s="24"/>
      <c r="C20"/>
      <c r="D20"/>
      <c r="E20"/>
      <c r="F20" s="24"/>
      <c r="G20"/>
      <c r="H20"/>
      <c r="I20"/>
      <c r="J20" s="24"/>
      <c r="K20" s="24"/>
      <c r="L20" s="24"/>
      <c r="M20" s="24"/>
      <c r="N20" s="24"/>
      <c r="O20" s="24"/>
      <c r="P20" s="24"/>
      <c r="Q20" s="24"/>
      <c r="R20" s="24"/>
    </row>
    <row r="21" spans="2:18" ht="19.5">
      <c r="B21" s="24"/>
      <c r="C21" s="26"/>
      <c r="D21" s="26"/>
      <c r="E21" s="52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2:18" ht="15" customHeight="1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2:18" ht="15" customHeight="1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2:18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2:18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2:18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40" spans="19:36">
      <c r="AA40" s="23"/>
      <c r="AB40" s="23"/>
    </row>
    <row r="41" spans="19:36">
      <c r="AA41" s="23"/>
      <c r="AB41" s="23"/>
    </row>
    <row r="42" spans="19:36">
      <c r="AA42" s="23"/>
      <c r="AB42" s="23"/>
    </row>
    <row r="43" spans="19:36">
      <c r="S43" s="25" t="s">
        <v>1</v>
      </c>
      <c r="T43"/>
      <c r="U43" s="25" t="s">
        <v>2</v>
      </c>
      <c r="V43"/>
      <c r="W43"/>
      <c r="X43"/>
      <c r="Y43"/>
      <c r="Z43"/>
      <c r="AA43" s="23"/>
      <c r="AB43" s="23"/>
      <c r="AC43" s="25" t="s">
        <v>1</v>
      </c>
      <c r="AD43" s="25" t="s">
        <v>2</v>
      </c>
      <c r="AE43"/>
      <c r="AF43"/>
      <c r="AG43"/>
      <c r="AH43"/>
      <c r="AI43"/>
    </row>
    <row r="44" spans="19:36">
      <c r="S44" s="25" t="s">
        <v>3</v>
      </c>
      <c r="T44" s="25" t="s">
        <v>30</v>
      </c>
      <c r="U44" t="s">
        <v>8</v>
      </c>
      <c r="V44" t="s">
        <v>5</v>
      </c>
      <c r="W44"/>
      <c r="X44"/>
      <c r="Y44"/>
      <c r="Z44"/>
      <c r="AA44" s="23"/>
      <c r="AB44" s="23"/>
      <c r="AC44" s="25" t="s">
        <v>30</v>
      </c>
      <c r="AD44" t="s">
        <v>29</v>
      </c>
      <c r="AE44" t="s">
        <v>4</v>
      </c>
      <c r="AF44" t="s">
        <v>28</v>
      </c>
      <c r="AG44" t="s">
        <v>8</v>
      </c>
      <c r="AH44" t="s">
        <v>5</v>
      </c>
      <c r="AI44"/>
    </row>
    <row r="45" spans="19:36">
      <c r="S45">
        <v>13</v>
      </c>
      <c r="T45" t="s">
        <v>31</v>
      </c>
      <c r="U45">
        <v>1</v>
      </c>
      <c r="V45">
        <v>1</v>
      </c>
      <c r="W45"/>
      <c r="X45"/>
      <c r="Y45"/>
      <c r="Z45"/>
      <c r="AA45" s="23"/>
      <c r="AB45" s="23"/>
      <c r="AC45" t="s">
        <v>31</v>
      </c>
      <c r="AD45">
        <v>2</v>
      </c>
      <c r="AE45">
        <v>2</v>
      </c>
      <c r="AF45">
        <v>1</v>
      </c>
      <c r="AG45">
        <v>7</v>
      </c>
      <c r="AH45">
        <v>12</v>
      </c>
      <c r="AI45"/>
    </row>
    <row r="46" spans="19:36">
      <c r="S46" t="s">
        <v>32</v>
      </c>
      <c r="T46"/>
      <c r="U46">
        <v>1</v>
      </c>
      <c r="V46">
        <v>1</v>
      </c>
      <c r="W46"/>
      <c r="X46"/>
      <c r="Y46"/>
      <c r="Z46"/>
      <c r="AA46" s="23"/>
      <c r="AB46" s="23"/>
      <c r="AC46" t="s">
        <v>5</v>
      </c>
      <c r="AD46">
        <v>2</v>
      </c>
      <c r="AE46">
        <v>2</v>
      </c>
      <c r="AF46">
        <v>1</v>
      </c>
      <c r="AG46">
        <v>7</v>
      </c>
      <c r="AH46">
        <v>12</v>
      </c>
      <c r="AI46"/>
    </row>
    <row r="47" spans="19:36">
      <c r="S47">
        <v>14</v>
      </c>
      <c r="T47" t="s">
        <v>31</v>
      </c>
      <c r="U47">
        <v>1</v>
      </c>
      <c r="V47">
        <v>1</v>
      </c>
      <c r="W47"/>
      <c r="X47"/>
      <c r="Y47"/>
      <c r="Z47"/>
      <c r="AA47" s="23"/>
      <c r="AB47" s="23"/>
      <c r="AC47"/>
      <c r="AD47"/>
      <c r="AE47"/>
      <c r="AF47"/>
      <c r="AG47"/>
      <c r="AH47"/>
      <c r="AI47"/>
    </row>
    <row r="48" spans="19:36">
      <c r="S48" t="s">
        <v>33</v>
      </c>
      <c r="T48"/>
      <c r="U48">
        <v>1</v>
      </c>
      <c r="V48">
        <v>1</v>
      </c>
      <c r="W48"/>
      <c r="X48"/>
      <c r="Y48"/>
      <c r="Z48"/>
      <c r="AA48" s="23"/>
      <c r="AB48" s="23"/>
      <c r="AC48" s="23"/>
      <c r="AD48" s="23"/>
      <c r="AE48" s="23"/>
      <c r="AF48" s="23"/>
      <c r="AG48" s="23"/>
      <c r="AH48" s="23"/>
      <c r="AI48" s="23"/>
      <c r="AJ48" s="23"/>
    </row>
    <row r="49" spans="18:36">
      <c r="S49">
        <v>15</v>
      </c>
      <c r="T49" t="s">
        <v>31</v>
      </c>
      <c r="U49">
        <v>3</v>
      </c>
      <c r="V49">
        <v>3</v>
      </c>
      <c r="W49"/>
      <c r="X49"/>
      <c r="Y49"/>
      <c r="Z49"/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8:36">
      <c r="S50" t="s">
        <v>34</v>
      </c>
      <c r="T50"/>
      <c r="U50">
        <v>3</v>
      </c>
      <c r="V50">
        <v>3</v>
      </c>
      <c r="W50"/>
      <c r="X50"/>
      <c r="Y50"/>
      <c r="Z50"/>
      <c r="AB50" s="23"/>
      <c r="AC50" s="23"/>
      <c r="AD50" s="23"/>
      <c r="AE50" s="23"/>
      <c r="AF50" s="23"/>
      <c r="AG50" s="23"/>
      <c r="AH50" s="23"/>
      <c r="AI50" s="23"/>
      <c r="AJ50" s="23"/>
    </row>
    <row r="51" spans="18:36">
      <c r="S51">
        <v>17</v>
      </c>
      <c r="T51" t="s">
        <v>31</v>
      </c>
      <c r="U51">
        <v>2</v>
      </c>
      <c r="V51">
        <v>2</v>
      </c>
      <c r="W51"/>
      <c r="X51"/>
      <c r="Y51"/>
      <c r="Z51"/>
      <c r="AB51" s="23"/>
      <c r="AC51" s="23"/>
      <c r="AD51" s="23"/>
      <c r="AE51" s="23"/>
      <c r="AF51" s="23"/>
      <c r="AG51" s="23"/>
      <c r="AH51" s="23"/>
      <c r="AI51" s="23"/>
      <c r="AJ51" s="23"/>
    </row>
    <row r="52" spans="18:36">
      <c r="S52" t="s">
        <v>35</v>
      </c>
      <c r="T52"/>
      <c r="U52">
        <v>2</v>
      </c>
      <c r="V52">
        <v>2</v>
      </c>
      <c r="W52"/>
      <c r="X52"/>
      <c r="Y52"/>
      <c r="Z52"/>
      <c r="AB52" s="23"/>
      <c r="AC52" s="23"/>
      <c r="AD52" s="23"/>
      <c r="AE52" s="23"/>
      <c r="AF52" s="23"/>
      <c r="AG52" s="23"/>
      <c r="AH52" s="23"/>
      <c r="AI52" s="23"/>
      <c r="AJ52" s="23"/>
    </row>
    <row r="53" spans="18:36">
      <c r="S53" t="s">
        <v>5</v>
      </c>
      <c r="T53"/>
      <c r="U53">
        <v>7</v>
      </c>
      <c r="V53">
        <v>7</v>
      </c>
      <c r="W53"/>
      <c r="X53"/>
      <c r="Y53"/>
      <c r="Z53"/>
      <c r="AB53" s="23"/>
      <c r="AC53" s="23"/>
      <c r="AD53" s="23"/>
      <c r="AE53" s="23"/>
      <c r="AF53" s="23"/>
      <c r="AG53" s="23"/>
      <c r="AH53" s="23"/>
      <c r="AI53" s="23"/>
      <c r="AJ53" s="23"/>
    </row>
    <row r="54" spans="18:36">
      <c r="S54"/>
      <c r="T54"/>
      <c r="U54"/>
      <c r="V54"/>
      <c r="W54"/>
      <c r="X54"/>
      <c r="Y54"/>
      <c r="Z54"/>
      <c r="AB54" s="23"/>
      <c r="AC54" s="23"/>
      <c r="AD54" s="23"/>
      <c r="AE54" s="23"/>
      <c r="AF54" s="23"/>
      <c r="AG54" s="23"/>
      <c r="AH54" s="23"/>
      <c r="AI54" s="23"/>
      <c r="AJ54" s="23"/>
    </row>
    <row r="55" spans="18:36">
      <c r="S55"/>
      <c r="T55"/>
      <c r="U55"/>
      <c r="V55"/>
      <c r="W55"/>
      <c r="X55"/>
      <c r="Y55"/>
      <c r="Z55"/>
      <c r="AB55" s="23"/>
      <c r="AC55" s="23"/>
      <c r="AD55" s="23"/>
      <c r="AE55" s="23"/>
      <c r="AF55" s="23"/>
      <c r="AG55" s="23"/>
      <c r="AH55" s="23"/>
      <c r="AI55" s="23"/>
      <c r="AJ55" s="23"/>
    </row>
    <row r="56" spans="18:36">
      <c r="S56"/>
      <c r="T56"/>
      <c r="U56"/>
      <c r="V56"/>
      <c r="W56"/>
      <c r="X56"/>
      <c r="Y56"/>
      <c r="Z56"/>
      <c r="AB56" s="23"/>
      <c r="AC56" s="23"/>
      <c r="AD56" s="23"/>
      <c r="AE56" s="23"/>
      <c r="AF56" s="23"/>
      <c r="AG56" s="23"/>
      <c r="AH56" s="23"/>
      <c r="AI56" s="23"/>
      <c r="AJ56" s="23"/>
    </row>
    <row r="57" spans="18:36">
      <c r="S57"/>
      <c r="T57"/>
      <c r="U57"/>
      <c r="V57"/>
      <c r="W57"/>
      <c r="X57"/>
      <c r="Y57"/>
      <c r="Z57"/>
      <c r="AB57" s="23"/>
      <c r="AC57" s="23"/>
      <c r="AD57" s="23"/>
      <c r="AE57" s="23"/>
      <c r="AF57" s="23"/>
      <c r="AG57" s="23"/>
      <c r="AH57" s="23"/>
      <c r="AI57" s="23"/>
      <c r="AJ57" s="23"/>
    </row>
    <row r="58" spans="18:36">
      <c r="S58"/>
      <c r="T58"/>
      <c r="U58"/>
      <c r="V58"/>
      <c r="W58"/>
      <c r="X58"/>
      <c r="Y58"/>
      <c r="Z58"/>
      <c r="AB58" s="23"/>
      <c r="AC58" s="23"/>
      <c r="AD58" s="23"/>
      <c r="AE58" s="23"/>
      <c r="AF58" s="23"/>
      <c r="AG58" s="23"/>
      <c r="AH58" s="23"/>
      <c r="AI58" s="23"/>
      <c r="AJ58" s="23"/>
    </row>
    <row r="59" spans="18:36">
      <c r="R59" s="23"/>
      <c r="S59" s="23"/>
      <c r="T59" s="23"/>
      <c r="U59" s="23"/>
      <c r="V59" s="23"/>
      <c r="W59" s="23"/>
      <c r="AB59" s="23"/>
      <c r="AC59" s="23"/>
      <c r="AD59" s="23"/>
      <c r="AE59" s="23"/>
      <c r="AF59" s="23"/>
      <c r="AG59" s="23"/>
      <c r="AH59" s="23"/>
      <c r="AI59" s="23"/>
      <c r="AJ59" s="23"/>
    </row>
    <row r="60" spans="18:36">
      <c r="R60" s="23"/>
      <c r="S60" s="23"/>
      <c r="T60" s="23"/>
      <c r="U60" s="23"/>
      <c r="V60" s="23"/>
      <c r="W60" s="23"/>
      <c r="AB60" s="23"/>
      <c r="AC60" s="23"/>
      <c r="AD60" s="23"/>
      <c r="AE60" s="23"/>
      <c r="AF60" s="23"/>
      <c r="AG60" s="23"/>
      <c r="AH60" s="23"/>
      <c r="AI60" s="23"/>
      <c r="AJ60" s="23"/>
    </row>
    <row r="61" spans="18:36">
      <c r="R61" s="23"/>
      <c r="S61" s="23"/>
      <c r="T61" s="23"/>
      <c r="U61" s="23"/>
      <c r="V61" s="23"/>
      <c r="W61" s="23"/>
      <c r="AB61" s="23"/>
      <c r="AC61" s="23"/>
      <c r="AD61" s="23"/>
      <c r="AE61" s="23"/>
      <c r="AF61" s="23"/>
      <c r="AG61" s="23"/>
      <c r="AH61" s="23"/>
      <c r="AI61" s="23"/>
      <c r="AJ61" s="23"/>
    </row>
    <row r="62" spans="18:36">
      <c r="R62" s="23"/>
      <c r="S62" s="23"/>
      <c r="T62" s="23"/>
      <c r="U62" s="23"/>
      <c r="V62" s="23"/>
      <c r="W62" s="23"/>
      <c r="AB62" s="23"/>
      <c r="AC62" s="23"/>
      <c r="AD62" s="23"/>
      <c r="AE62" s="23"/>
      <c r="AF62" s="23"/>
      <c r="AG62" s="23"/>
      <c r="AH62" s="23"/>
      <c r="AI62" s="23"/>
      <c r="AJ62" s="23"/>
    </row>
    <row r="63" spans="18:36">
      <c r="R63" s="23"/>
      <c r="S63" s="23"/>
      <c r="T63" s="23"/>
      <c r="U63" s="23"/>
      <c r="V63" s="23"/>
      <c r="W63" s="23"/>
      <c r="AB63" s="23"/>
      <c r="AC63" s="23"/>
      <c r="AD63" s="23"/>
      <c r="AE63" s="23"/>
      <c r="AF63" s="23"/>
      <c r="AG63" s="23"/>
      <c r="AH63" s="23"/>
      <c r="AI63" s="23"/>
      <c r="AJ63" s="23"/>
    </row>
    <row r="64" spans="18:36">
      <c r="R64" s="23"/>
      <c r="S64" s="23"/>
      <c r="T64" s="23"/>
      <c r="U64" s="23"/>
      <c r="V64" s="23"/>
      <c r="W64" s="23"/>
      <c r="AB64" s="23"/>
      <c r="AC64" s="23"/>
      <c r="AD64" s="23"/>
      <c r="AE64" s="23"/>
      <c r="AF64" s="23"/>
      <c r="AG64" s="23"/>
      <c r="AH64" s="23"/>
      <c r="AI64" s="23"/>
      <c r="AJ64" s="23"/>
    </row>
    <row r="65" spans="18:36">
      <c r="R65" s="23"/>
      <c r="S65" s="23"/>
      <c r="T65" s="23"/>
      <c r="U65" s="23"/>
      <c r="V65" s="23"/>
      <c r="W65" s="23"/>
      <c r="AB65" s="23"/>
      <c r="AC65" s="23"/>
      <c r="AD65" s="23"/>
      <c r="AE65" s="23"/>
      <c r="AF65" s="23"/>
      <c r="AG65" s="23"/>
      <c r="AH65" s="23"/>
      <c r="AI65" s="23"/>
      <c r="AJ65" s="23"/>
    </row>
    <row r="66" spans="18:36">
      <c r="R66" s="23"/>
      <c r="S66" s="23"/>
      <c r="T66" s="23"/>
      <c r="U66" s="23"/>
      <c r="V66" s="23"/>
      <c r="W66" s="23"/>
      <c r="AB66" s="23"/>
      <c r="AC66" s="23"/>
      <c r="AD66" s="23"/>
      <c r="AE66" s="23"/>
      <c r="AF66" s="23"/>
      <c r="AG66" s="23"/>
      <c r="AH66" s="23"/>
      <c r="AI66" s="23"/>
      <c r="AJ66" s="23"/>
    </row>
    <row r="67" spans="18:36">
      <c r="R67" s="23"/>
      <c r="S67" s="23"/>
      <c r="T67" s="23"/>
      <c r="U67" s="23"/>
      <c r="V67" s="23"/>
      <c r="W67" s="23"/>
      <c r="AB67" s="23"/>
      <c r="AC67" s="23"/>
      <c r="AD67" s="23"/>
      <c r="AE67" s="23"/>
      <c r="AF67" s="23"/>
      <c r="AG67" s="23"/>
      <c r="AH67" s="23"/>
      <c r="AI67" s="23"/>
      <c r="AJ67" s="23"/>
    </row>
    <row r="68" spans="18:36">
      <c r="R68" s="23"/>
      <c r="S68" s="23"/>
      <c r="T68" s="23"/>
      <c r="U68" s="23"/>
      <c r="V68" s="23"/>
      <c r="W68" s="23"/>
      <c r="AB68" s="23"/>
      <c r="AC68" s="23"/>
      <c r="AD68" s="23"/>
      <c r="AE68" s="23"/>
      <c r="AF68" s="23"/>
      <c r="AG68" s="23"/>
      <c r="AH68" s="23"/>
      <c r="AI68" s="23"/>
      <c r="AJ68" s="23"/>
    </row>
    <row r="69" spans="18:36">
      <c r="AB69" s="23"/>
      <c r="AC69" s="23"/>
      <c r="AD69" s="23"/>
      <c r="AE69" s="23"/>
      <c r="AF69" s="23"/>
      <c r="AG69" s="23"/>
      <c r="AH69" s="23"/>
      <c r="AI69" s="23"/>
      <c r="AJ69" s="23"/>
    </row>
    <row r="70" spans="18:36">
      <c r="AB70" s="23"/>
      <c r="AC70" s="23"/>
      <c r="AD70" s="23"/>
      <c r="AE70" s="23"/>
      <c r="AF70" s="23"/>
      <c r="AG70" s="23"/>
      <c r="AH70" s="23"/>
      <c r="AI70" s="23"/>
      <c r="AJ70" s="23"/>
    </row>
    <row r="71" spans="18:36">
      <c r="AB71" s="23"/>
      <c r="AC71" s="23"/>
      <c r="AD71" s="23"/>
      <c r="AE71" s="23"/>
      <c r="AF71" s="23"/>
      <c r="AG71" s="23"/>
      <c r="AH71" s="23"/>
      <c r="AI71" s="23"/>
      <c r="AJ71" s="23"/>
    </row>
  </sheetData>
  <mergeCells count="15">
    <mergeCell ref="G8:G9"/>
    <mergeCell ref="E8:F9"/>
    <mergeCell ref="O2:P3"/>
    <mergeCell ref="L2:M3"/>
    <mergeCell ref="C2:D3"/>
    <mergeCell ref="F2:G3"/>
    <mergeCell ref="I2:J3"/>
    <mergeCell ref="G12:H13"/>
    <mergeCell ref="I12:I13"/>
    <mergeCell ref="C16:D17"/>
    <mergeCell ref="G16:H17"/>
    <mergeCell ref="E16:E17"/>
    <mergeCell ref="I16:I17"/>
    <mergeCell ref="C12:D13"/>
    <mergeCell ref="E12:E13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D2B6-7A0A-44AA-97CB-5B9CBCEE801C}">
  <dimension ref="A1:F97"/>
  <sheetViews>
    <sheetView workbookViewId="0"/>
  </sheetViews>
  <sheetFormatPr defaultRowHeight="15"/>
  <cols>
    <col min="1" max="1" width="22.7109375" style="19" bestFit="1" customWidth="1"/>
    <col min="2" max="2" width="22.7109375" style="19" customWidth="1"/>
    <col min="3" max="3" width="20.5703125" style="19" customWidth="1"/>
    <col min="4" max="4" width="18.85546875" style="19" customWidth="1"/>
    <col min="5" max="5" width="20.5703125" style="19" bestFit="1" customWidth="1"/>
    <col min="6" max="6" width="33.28515625" style="19" customWidth="1"/>
  </cols>
  <sheetData>
    <row r="1" spans="1:6" s="22" customFormat="1">
      <c r="A1" s="20" t="s">
        <v>36</v>
      </c>
      <c r="B1" s="20" t="s">
        <v>37</v>
      </c>
      <c r="C1" s="20" t="s">
        <v>38</v>
      </c>
      <c r="D1" s="20" t="s">
        <v>39</v>
      </c>
      <c r="E1" s="20" t="s">
        <v>20</v>
      </c>
      <c r="F1" s="21" t="s">
        <v>40</v>
      </c>
    </row>
    <row r="2" spans="1:6" ht="57.75">
      <c r="A2" s="18">
        <v>2025</v>
      </c>
      <c r="B2" s="18">
        <v>8020936</v>
      </c>
      <c r="C2" s="18">
        <v>2022</v>
      </c>
      <c r="D2" s="18" t="s">
        <v>7</v>
      </c>
      <c r="E2" s="18" t="s">
        <v>41</v>
      </c>
      <c r="F2" s="17" t="s">
        <v>42</v>
      </c>
    </row>
    <row r="3" spans="1:6" ht="57.75">
      <c r="A3" s="18">
        <v>2023</v>
      </c>
      <c r="B3" s="18">
        <v>8016221</v>
      </c>
      <c r="C3" s="18">
        <v>2013</v>
      </c>
      <c r="D3" s="18" t="s">
        <v>4</v>
      </c>
      <c r="E3" s="18" t="s">
        <v>41</v>
      </c>
      <c r="F3" s="17" t="s">
        <v>43</v>
      </c>
    </row>
    <row r="4" spans="1:6" ht="57.75">
      <c r="A4" s="18">
        <v>16110</v>
      </c>
      <c r="B4" s="18">
        <v>8016043</v>
      </c>
      <c r="C4" s="18">
        <v>2013</v>
      </c>
      <c r="D4" s="18" t="s">
        <v>4</v>
      </c>
      <c r="E4" s="18" t="s">
        <v>41</v>
      </c>
      <c r="F4" s="17" t="s">
        <v>44</v>
      </c>
    </row>
    <row r="5" spans="1:6" ht="57.75">
      <c r="A5" s="18">
        <v>1784</v>
      </c>
      <c r="B5" s="18">
        <v>8017966</v>
      </c>
      <c r="C5" s="18">
        <v>2017</v>
      </c>
      <c r="D5" s="18" t="s">
        <v>7</v>
      </c>
      <c r="E5" s="18">
        <v>1</v>
      </c>
      <c r="F5" s="17" t="s">
        <v>45</v>
      </c>
    </row>
    <row r="6" spans="1:6" ht="57.75">
      <c r="A6" s="18">
        <v>1315</v>
      </c>
      <c r="B6" s="18">
        <v>8015277</v>
      </c>
      <c r="C6" s="18">
        <v>2012</v>
      </c>
      <c r="D6" s="18" t="s">
        <v>4</v>
      </c>
      <c r="E6" s="18">
        <v>1</v>
      </c>
      <c r="F6" s="17" t="s">
        <v>46</v>
      </c>
    </row>
    <row r="7" spans="1:6" ht="57.75">
      <c r="A7" s="18">
        <v>1778</v>
      </c>
      <c r="B7" s="18">
        <v>8019095</v>
      </c>
      <c r="C7" s="18">
        <v>2019</v>
      </c>
      <c r="D7" s="18" t="s">
        <v>7</v>
      </c>
      <c r="E7" s="18">
        <v>1</v>
      </c>
      <c r="F7" s="17" t="s">
        <v>47</v>
      </c>
    </row>
    <row r="8" spans="1:6" ht="57.75">
      <c r="A8" s="18">
        <v>17104</v>
      </c>
      <c r="B8" s="18">
        <v>8018466</v>
      </c>
      <c r="C8" s="18">
        <v>2018</v>
      </c>
      <c r="D8" s="18" t="s">
        <v>7</v>
      </c>
      <c r="E8" s="18">
        <v>1</v>
      </c>
      <c r="F8" s="17" t="s">
        <v>48</v>
      </c>
    </row>
    <row r="9" spans="1:6" ht="57.75">
      <c r="A9" s="18">
        <v>1864</v>
      </c>
      <c r="B9" s="18">
        <v>8019104</v>
      </c>
      <c r="C9" s="18">
        <v>2019</v>
      </c>
      <c r="D9" s="18" t="s">
        <v>7</v>
      </c>
      <c r="E9" s="18">
        <v>1</v>
      </c>
      <c r="F9" s="17" t="s">
        <v>49</v>
      </c>
    </row>
    <row r="10" spans="1:6" ht="57.75">
      <c r="A10" s="18">
        <v>1394</v>
      </c>
      <c r="B10" s="18">
        <v>8015927</v>
      </c>
      <c r="C10" s="18">
        <v>2013</v>
      </c>
      <c r="D10" s="18" t="s">
        <v>4</v>
      </c>
      <c r="E10" s="18">
        <v>2</v>
      </c>
      <c r="F10" s="17" t="s">
        <v>50</v>
      </c>
    </row>
    <row r="11" spans="1:6" ht="57.75">
      <c r="A11" s="18">
        <v>1865</v>
      </c>
      <c r="B11" s="18">
        <v>8019105</v>
      </c>
      <c r="C11" s="18">
        <v>2019</v>
      </c>
      <c r="D11" s="18" t="s">
        <v>7</v>
      </c>
      <c r="E11" s="18">
        <v>2</v>
      </c>
      <c r="F11" s="17" t="s">
        <v>51</v>
      </c>
    </row>
    <row r="12" spans="1:6" ht="57.75">
      <c r="A12" s="18">
        <v>17107</v>
      </c>
      <c r="B12" s="18">
        <v>8017230</v>
      </c>
      <c r="C12" s="18">
        <v>2015</v>
      </c>
      <c r="D12" s="18" t="s">
        <v>7</v>
      </c>
      <c r="E12" s="18">
        <v>2</v>
      </c>
      <c r="F12" s="17" t="s">
        <v>52</v>
      </c>
    </row>
    <row r="13" spans="1:6" ht="57.75">
      <c r="A13" s="18">
        <v>16116</v>
      </c>
      <c r="B13" s="18">
        <v>8005185</v>
      </c>
      <c r="C13" s="18">
        <v>2002</v>
      </c>
      <c r="D13" s="18" t="s">
        <v>8</v>
      </c>
      <c r="E13" s="18">
        <v>2</v>
      </c>
      <c r="F13" s="17" t="s">
        <v>53</v>
      </c>
    </row>
    <row r="14" spans="1:6" ht="57.75">
      <c r="A14" s="18">
        <v>1883</v>
      </c>
      <c r="B14" s="18">
        <v>8018369</v>
      </c>
      <c r="C14" s="18">
        <v>2018</v>
      </c>
      <c r="D14" s="18" t="s">
        <v>7</v>
      </c>
      <c r="E14" s="18">
        <v>3</v>
      </c>
      <c r="F14" s="17" t="s">
        <v>54</v>
      </c>
    </row>
    <row r="15" spans="1:6" ht="57.75">
      <c r="A15" s="18">
        <v>1252</v>
      </c>
      <c r="B15" s="18">
        <v>8021186</v>
      </c>
      <c r="C15" s="18">
        <v>2022</v>
      </c>
      <c r="D15" s="18" t="s">
        <v>7</v>
      </c>
      <c r="E15" s="18">
        <v>3</v>
      </c>
      <c r="F15" s="17" t="s">
        <v>55</v>
      </c>
    </row>
    <row r="16" spans="1:6" ht="57.75">
      <c r="A16" s="18">
        <v>17108</v>
      </c>
      <c r="B16" s="18">
        <v>8017243</v>
      </c>
      <c r="C16" s="18">
        <v>2015</v>
      </c>
      <c r="D16" s="18" t="s">
        <v>7</v>
      </c>
      <c r="E16" s="18">
        <v>3</v>
      </c>
      <c r="F16" s="17" t="s">
        <v>56</v>
      </c>
    </row>
    <row r="17" spans="1:6" ht="57.75">
      <c r="A17" s="18">
        <v>1470</v>
      </c>
      <c r="B17" s="18">
        <v>8019111</v>
      </c>
      <c r="C17" s="18">
        <v>2019</v>
      </c>
      <c r="D17" s="18" t="s">
        <v>7</v>
      </c>
      <c r="E17" s="18">
        <v>3</v>
      </c>
      <c r="F17" s="17" t="s">
        <v>57</v>
      </c>
    </row>
    <row r="18" spans="1:6" ht="57.75">
      <c r="A18" s="18" t="s">
        <v>58</v>
      </c>
      <c r="B18" s="18">
        <v>8017229</v>
      </c>
      <c r="C18" s="18">
        <v>2015</v>
      </c>
      <c r="D18" s="18" t="s">
        <v>7</v>
      </c>
      <c r="E18" s="18">
        <v>3</v>
      </c>
      <c r="F18" s="17" t="s">
        <v>59</v>
      </c>
    </row>
    <row r="19" spans="1:6" ht="57.75">
      <c r="A19" s="18">
        <v>1472</v>
      </c>
      <c r="B19" s="18">
        <v>8017961</v>
      </c>
      <c r="C19" s="18">
        <v>2017</v>
      </c>
      <c r="D19" s="18" t="s">
        <v>7</v>
      </c>
      <c r="E19" s="18">
        <v>4</v>
      </c>
      <c r="F19" s="17" t="s">
        <v>60</v>
      </c>
    </row>
    <row r="20" spans="1:6" ht="57.75">
      <c r="A20" s="18">
        <v>16120</v>
      </c>
      <c r="B20" s="18">
        <v>-8020832</v>
      </c>
      <c r="C20" s="18">
        <v>2022</v>
      </c>
      <c r="D20" s="18" t="s">
        <v>7</v>
      </c>
      <c r="E20" s="18">
        <v>4</v>
      </c>
      <c r="F20" s="17" t="s">
        <v>61</v>
      </c>
    </row>
    <row r="21" spans="1:6" ht="57.75">
      <c r="A21" s="18">
        <v>1966</v>
      </c>
      <c r="B21" s="18">
        <v>-8021544</v>
      </c>
      <c r="C21" s="18">
        <v>2022</v>
      </c>
      <c r="D21" s="18" t="s">
        <v>7</v>
      </c>
      <c r="E21" s="18">
        <v>4</v>
      </c>
      <c r="F21" s="17" t="s">
        <v>62</v>
      </c>
    </row>
    <row r="22" spans="1:6" ht="57.75">
      <c r="A22" s="18">
        <v>1477</v>
      </c>
      <c r="B22" s="18">
        <v>8019107</v>
      </c>
      <c r="C22" s="18">
        <v>2019</v>
      </c>
      <c r="D22" s="18" t="s">
        <v>7</v>
      </c>
      <c r="E22" s="18">
        <v>4</v>
      </c>
      <c r="F22" s="17" t="s">
        <v>63</v>
      </c>
    </row>
    <row r="23" spans="1:6" ht="57.75">
      <c r="A23" s="18">
        <v>1485</v>
      </c>
      <c r="B23" s="18">
        <v>8019108</v>
      </c>
      <c r="C23" s="18">
        <v>2019</v>
      </c>
      <c r="D23" s="18" t="s">
        <v>7</v>
      </c>
      <c r="E23" s="18">
        <v>4</v>
      </c>
      <c r="F23" s="17" t="s">
        <v>64</v>
      </c>
    </row>
    <row r="24" spans="1:6" ht="57.75">
      <c r="A24" s="18">
        <v>1683</v>
      </c>
      <c r="B24" s="18">
        <v>8019117</v>
      </c>
      <c r="C24" s="18">
        <v>2019</v>
      </c>
      <c r="D24" s="18" t="s">
        <v>7</v>
      </c>
      <c r="E24" s="18">
        <v>5</v>
      </c>
      <c r="F24" s="17" t="s">
        <v>65</v>
      </c>
    </row>
    <row r="25" spans="1:6" ht="57.75">
      <c r="A25" s="18">
        <v>16123</v>
      </c>
      <c r="B25" s="18">
        <v>8021172</v>
      </c>
      <c r="C25" s="18">
        <v>2022</v>
      </c>
      <c r="D25" s="18" t="s">
        <v>7</v>
      </c>
      <c r="E25" s="18">
        <v>5</v>
      </c>
      <c r="F25" s="17" t="s">
        <v>66</v>
      </c>
    </row>
    <row r="26" spans="1:6" ht="57.75">
      <c r="A26" s="18">
        <v>1689</v>
      </c>
      <c r="B26" s="18">
        <v>8019094</v>
      </c>
      <c r="C26" s="18">
        <v>2019</v>
      </c>
      <c r="D26" s="18" t="s">
        <v>7</v>
      </c>
      <c r="E26" s="18">
        <v>5</v>
      </c>
      <c r="F26" s="17" t="s">
        <v>67</v>
      </c>
    </row>
    <row r="27" spans="1:6" ht="57.75">
      <c r="A27" s="18">
        <v>15124</v>
      </c>
      <c r="B27" s="18">
        <v>-8018413</v>
      </c>
      <c r="C27" s="18">
        <v>2018</v>
      </c>
      <c r="D27" s="18" t="s">
        <v>7</v>
      </c>
      <c r="E27" s="18">
        <v>5</v>
      </c>
      <c r="F27" s="17" t="s">
        <v>68</v>
      </c>
    </row>
    <row r="28" spans="1:6" ht="57.75">
      <c r="A28" s="18">
        <v>1108</v>
      </c>
      <c r="B28" s="18">
        <v>8019014</v>
      </c>
      <c r="C28" s="18">
        <v>2019</v>
      </c>
      <c r="D28" s="18" t="s">
        <v>7</v>
      </c>
      <c r="E28" s="18">
        <v>6</v>
      </c>
      <c r="F28" s="17" t="s">
        <v>69</v>
      </c>
    </row>
    <row r="29" spans="1:6" ht="57.75">
      <c r="A29" s="18">
        <v>1694</v>
      </c>
      <c r="B29" s="18">
        <v>-8017988</v>
      </c>
      <c r="C29" s="18">
        <v>2017</v>
      </c>
      <c r="D29" s="18" t="s">
        <v>7</v>
      </c>
      <c r="E29" s="18">
        <v>6</v>
      </c>
      <c r="F29" s="17" t="s">
        <v>70</v>
      </c>
    </row>
    <row r="30" spans="1:6" ht="57.75">
      <c r="A30" s="18">
        <v>1580</v>
      </c>
      <c r="B30" s="18">
        <v>8017964</v>
      </c>
      <c r="C30" s="18">
        <v>2017</v>
      </c>
      <c r="D30" s="18" t="s">
        <v>7</v>
      </c>
      <c r="E30" s="18">
        <v>6</v>
      </c>
      <c r="F30" s="17" t="s">
        <v>71</v>
      </c>
    </row>
    <row r="31" spans="1:6" ht="57.75">
      <c r="A31" s="18">
        <v>13107</v>
      </c>
      <c r="B31" s="18">
        <v>8021023</v>
      </c>
      <c r="C31" s="18">
        <v>2022</v>
      </c>
      <c r="D31" s="18" t="s">
        <v>7</v>
      </c>
      <c r="E31" s="18">
        <v>6</v>
      </c>
      <c r="F31" s="17" t="s">
        <v>72</v>
      </c>
    </row>
    <row r="32" spans="1:6" ht="57.75">
      <c r="A32" s="18">
        <v>2103</v>
      </c>
      <c r="B32" s="18">
        <v>8017241</v>
      </c>
      <c r="C32" s="18">
        <v>2015</v>
      </c>
      <c r="D32" s="18" t="s">
        <v>7</v>
      </c>
      <c r="E32" s="18">
        <v>6</v>
      </c>
      <c r="F32" s="17" t="s">
        <v>73</v>
      </c>
    </row>
    <row r="33" spans="1:6" ht="57.75">
      <c r="A33" s="18">
        <v>1255</v>
      </c>
      <c r="B33" s="18">
        <v>8021530</v>
      </c>
      <c r="C33" s="18">
        <v>2022</v>
      </c>
      <c r="D33" s="18" t="s">
        <v>7</v>
      </c>
      <c r="E33" s="18">
        <v>7</v>
      </c>
      <c r="F33" s="17" t="s">
        <v>74</v>
      </c>
    </row>
    <row r="34" spans="1:6" ht="57.75">
      <c r="A34" s="18">
        <v>1897</v>
      </c>
      <c r="B34" s="18">
        <v>-8020965</v>
      </c>
      <c r="C34" s="18">
        <v>2022</v>
      </c>
      <c r="D34" s="18" t="s">
        <v>7</v>
      </c>
      <c r="E34" s="18">
        <v>7</v>
      </c>
      <c r="F34" s="17" t="s">
        <v>75</v>
      </c>
    </row>
    <row r="35" spans="1:6" ht="57.75">
      <c r="A35" s="18">
        <v>1487</v>
      </c>
      <c r="B35" s="18">
        <v>8019244</v>
      </c>
      <c r="C35" s="18">
        <v>2020</v>
      </c>
      <c r="D35" s="18" t="s">
        <v>7</v>
      </c>
      <c r="E35" s="18">
        <v>7</v>
      </c>
      <c r="F35" s="17" t="s">
        <v>76</v>
      </c>
    </row>
    <row r="36" spans="1:6" ht="57.75">
      <c r="A36" s="18">
        <v>15118</v>
      </c>
      <c r="B36" s="18">
        <v>8019257</v>
      </c>
      <c r="C36" s="18">
        <v>2020</v>
      </c>
      <c r="D36" s="18" t="s">
        <v>7</v>
      </c>
      <c r="E36" s="18">
        <v>7</v>
      </c>
      <c r="F36" s="17" t="s">
        <v>77</v>
      </c>
    </row>
    <row r="37" spans="1:6" ht="57.75">
      <c r="A37" s="18">
        <v>1256</v>
      </c>
      <c r="B37" s="18">
        <v>8021529</v>
      </c>
      <c r="C37" s="18">
        <v>2022</v>
      </c>
      <c r="D37" s="18" t="s">
        <v>7</v>
      </c>
      <c r="E37" s="18">
        <v>7</v>
      </c>
      <c r="F37" s="17" t="s">
        <v>78</v>
      </c>
    </row>
    <row r="38" spans="1:6" ht="57.75">
      <c r="A38" s="18">
        <v>15120</v>
      </c>
      <c r="B38" s="18">
        <v>8019259</v>
      </c>
      <c r="C38" s="18">
        <v>2020</v>
      </c>
      <c r="D38" s="18" t="s">
        <v>7</v>
      </c>
      <c r="E38" s="18">
        <v>7</v>
      </c>
      <c r="F38" s="17" t="s">
        <v>79</v>
      </c>
    </row>
    <row r="39" spans="1:6" ht="57.75">
      <c r="A39" s="18">
        <v>15121</v>
      </c>
      <c r="B39" s="18">
        <v>8019258</v>
      </c>
      <c r="C39" s="18">
        <v>2020</v>
      </c>
      <c r="D39" s="18" t="s">
        <v>7</v>
      </c>
      <c r="E39" s="18">
        <v>7</v>
      </c>
      <c r="F39" s="17" t="s">
        <v>80</v>
      </c>
    </row>
    <row r="40" spans="1:6" ht="57.75">
      <c r="A40" s="18">
        <v>17137</v>
      </c>
      <c r="B40" s="18">
        <v>-8020822</v>
      </c>
      <c r="C40" s="18">
        <v>2022</v>
      </c>
      <c r="D40" s="18" t="s">
        <v>7</v>
      </c>
      <c r="E40" s="18">
        <v>8</v>
      </c>
      <c r="F40" s="17" t="s">
        <v>81</v>
      </c>
    </row>
    <row r="41" spans="1:6" ht="57.75">
      <c r="A41" s="18">
        <v>13108</v>
      </c>
      <c r="B41" s="18">
        <v>8021532</v>
      </c>
      <c r="C41" s="18">
        <v>2022</v>
      </c>
      <c r="D41" s="18" t="s">
        <v>7</v>
      </c>
      <c r="E41" s="18">
        <v>8</v>
      </c>
      <c r="F41" s="17" t="s">
        <v>82</v>
      </c>
    </row>
    <row r="42" spans="1:6" ht="57.75">
      <c r="A42" s="18">
        <v>1696</v>
      </c>
      <c r="B42" s="18">
        <v>8019253</v>
      </c>
      <c r="C42" s="18">
        <v>2020</v>
      </c>
      <c r="D42" s="18" t="s">
        <v>7</v>
      </c>
      <c r="E42" s="18">
        <v>8</v>
      </c>
      <c r="F42" s="17" t="s">
        <v>83</v>
      </c>
    </row>
    <row r="43" spans="1:6" ht="57.75">
      <c r="A43" s="18">
        <v>1384</v>
      </c>
      <c r="B43" s="18">
        <v>8020931</v>
      </c>
      <c r="C43" s="18">
        <v>2022</v>
      </c>
      <c r="D43" s="18" t="s">
        <v>7</v>
      </c>
      <c r="E43" s="18">
        <v>8</v>
      </c>
      <c r="F43" s="17" t="s">
        <v>84</v>
      </c>
    </row>
    <row r="44" spans="1:6" ht="57.75">
      <c r="A44" s="18">
        <v>1953</v>
      </c>
      <c r="B44" s="18">
        <v>8020960</v>
      </c>
      <c r="C44" s="18">
        <v>2022</v>
      </c>
      <c r="D44" s="18" t="s">
        <v>7</v>
      </c>
      <c r="E44" s="18">
        <v>9</v>
      </c>
      <c r="F44" s="17" t="s">
        <v>85</v>
      </c>
    </row>
    <row r="45" spans="1:6" ht="57.75">
      <c r="A45" s="18">
        <v>1941</v>
      </c>
      <c r="B45" s="18">
        <v>8017980</v>
      </c>
      <c r="C45" s="18">
        <v>2017</v>
      </c>
      <c r="D45" s="18" t="s">
        <v>7</v>
      </c>
      <c r="E45" s="18">
        <v>9</v>
      </c>
      <c r="F45" s="17" t="s">
        <v>86</v>
      </c>
    </row>
    <row r="46" spans="1:6" ht="57.75">
      <c r="A46" s="18">
        <v>1257</v>
      </c>
      <c r="B46" s="18">
        <v>8021528</v>
      </c>
      <c r="C46" s="18">
        <v>2022</v>
      </c>
      <c r="D46" s="18" t="s">
        <v>7</v>
      </c>
      <c r="E46" s="18">
        <v>9</v>
      </c>
      <c r="F46" s="17" t="s">
        <v>87</v>
      </c>
    </row>
    <row r="47" spans="1:6" ht="57.75">
      <c r="A47" s="18">
        <v>1395</v>
      </c>
      <c r="B47" s="18">
        <v>8020967</v>
      </c>
      <c r="C47" s="18">
        <v>2022</v>
      </c>
      <c r="D47" s="18" t="s">
        <v>7</v>
      </c>
      <c r="E47" s="18">
        <v>9</v>
      </c>
      <c r="F47" s="17" t="s">
        <v>88</v>
      </c>
    </row>
    <row r="48" spans="1:6" ht="57.75">
      <c r="A48" s="18">
        <v>1684</v>
      </c>
      <c r="B48" s="18">
        <v>-8017220</v>
      </c>
      <c r="C48" s="18">
        <v>2015</v>
      </c>
      <c r="D48" s="18" t="s">
        <v>7</v>
      </c>
      <c r="E48" s="18">
        <v>9</v>
      </c>
      <c r="F48" s="17" t="s">
        <v>89</v>
      </c>
    </row>
    <row r="49" spans="1:6" ht="57.75">
      <c r="A49" s="18">
        <v>17130</v>
      </c>
      <c r="B49" s="18">
        <v>8020824</v>
      </c>
      <c r="C49" s="18">
        <v>2022</v>
      </c>
      <c r="D49" s="18" t="s">
        <v>7</v>
      </c>
      <c r="E49" s="18">
        <v>10</v>
      </c>
      <c r="F49" s="17" t="s">
        <v>90</v>
      </c>
    </row>
    <row r="50" spans="1:6" ht="57.75">
      <c r="A50" s="18">
        <v>16102</v>
      </c>
      <c r="B50" s="18">
        <v>8017236</v>
      </c>
      <c r="C50" s="18">
        <v>2015</v>
      </c>
      <c r="D50" s="18" t="s">
        <v>7</v>
      </c>
      <c r="E50" s="18">
        <v>10</v>
      </c>
      <c r="F50" s="17" t="s">
        <v>91</v>
      </c>
    </row>
    <row r="51" spans="1:6" ht="57.75">
      <c r="A51" s="18">
        <v>1895</v>
      </c>
      <c r="B51" s="18">
        <v>8020955</v>
      </c>
      <c r="C51" s="18">
        <v>2022</v>
      </c>
      <c r="D51" s="18" t="s">
        <v>7</v>
      </c>
      <c r="E51" s="18">
        <v>10</v>
      </c>
      <c r="F51" s="17" t="s">
        <v>92</v>
      </c>
    </row>
    <row r="52" spans="1:6" ht="57.75">
      <c r="A52" s="18" t="s">
        <v>93</v>
      </c>
      <c r="B52" s="18">
        <v>8021022</v>
      </c>
      <c r="C52" s="18">
        <v>2022</v>
      </c>
      <c r="D52" s="18" t="s">
        <v>9</v>
      </c>
      <c r="E52" s="18">
        <v>11</v>
      </c>
      <c r="F52" s="17" t="s">
        <v>94</v>
      </c>
    </row>
    <row r="53" spans="1:6" ht="57.75">
      <c r="A53" s="18">
        <v>1938</v>
      </c>
      <c r="B53" s="18">
        <v>8018157</v>
      </c>
      <c r="C53" s="18">
        <v>2017</v>
      </c>
      <c r="D53" s="18" t="s">
        <v>7</v>
      </c>
      <c r="E53" s="18">
        <v>11</v>
      </c>
      <c r="F53" s="17" t="s">
        <v>95</v>
      </c>
    </row>
    <row r="54" spans="1:6" ht="57.75">
      <c r="A54" s="18">
        <v>16101</v>
      </c>
      <c r="B54" s="18">
        <v>-8017235</v>
      </c>
      <c r="C54" s="18">
        <v>2015</v>
      </c>
      <c r="D54" s="18" t="s">
        <v>7</v>
      </c>
      <c r="E54" s="18">
        <v>11</v>
      </c>
      <c r="F54" s="17" t="s">
        <v>96</v>
      </c>
    </row>
    <row r="55" spans="1:6">
      <c r="A55" s="18">
        <v>2114</v>
      </c>
      <c r="B55" s="18">
        <v>-8017434</v>
      </c>
      <c r="C55" s="18">
        <v>2015</v>
      </c>
      <c r="D55" s="18" t="s">
        <v>7</v>
      </c>
      <c r="E55" s="18">
        <v>11</v>
      </c>
      <c r="F55" s="17" t="s">
        <v>97</v>
      </c>
    </row>
    <row r="56" spans="1:6" ht="57.75">
      <c r="A56" s="18">
        <v>15125</v>
      </c>
      <c r="B56" s="18">
        <v>8018708</v>
      </c>
      <c r="C56" s="18">
        <v>2018</v>
      </c>
      <c r="D56" s="18" t="s">
        <v>7</v>
      </c>
      <c r="E56" s="18">
        <v>11</v>
      </c>
      <c r="F56" s="17" t="s">
        <v>98</v>
      </c>
    </row>
    <row r="57" spans="1:6" ht="57.75">
      <c r="A57" s="18">
        <v>1948</v>
      </c>
      <c r="B57" s="18" t="s">
        <v>99</v>
      </c>
      <c r="C57" s="18">
        <v>2013</v>
      </c>
      <c r="D57" s="18" t="s">
        <v>4</v>
      </c>
      <c r="E57" s="18">
        <v>12</v>
      </c>
      <c r="F57" s="17" t="s">
        <v>100</v>
      </c>
    </row>
    <row r="58" spans="1:6" ht="57.75">
      <c r="A58" s="18">
        <v>2027</v>
      </c>
      <c r="B58" s="18">
        <v>8016046</v>
      </c>
      <c r="C58" s="18">
        <v>2013</v>
      </c>
      <c r="D58" s="18" t="s">
        <v>4</v>
      </c>
      <c r="E58" s="18">
        <v>12</v>
      </c>
      <c r="F58" s="17" t="s">
        <v>101</v>
      </c>
    </row>
    <row r="59" spans="1:6" ht="57.75">
      <c r="A59" s="18">
        <v>16112</v>
      </c>
      <c r="B59" s="18">
        <v>8015602</v>
      </c>
      <c r="C59" s="18">
        <v>2013</v>
      </c>
      <c r="D59" s="18" t="s">
        <v>4</v>
      </c>
      <c r="E59" s="18">
        <v>12</v>
      </c>
      <c r="F59" s="17" t="s">
        <v>102</v>
      </c>
    </row>
    <row r="60" spans="1:6" ht="57.75">
      <c r="A60" s="18">
        <v>1249</v>
      </c>
      <c r="B60" s="18">
        <v>8014332</v>
      </c>
      <c r="C60" s="18">
        <v>2011</v>
      </c>
      <c r="D60" s="18" t="s">
        <v>4</v>
      </c>
      <c r="E60" s="18">
        <v>12</v>
      </c>
      <c r="F60" s="17" t="s">
        <v>103</v>
      </c>
    </row>
    <row r="61" spans="1:6" ht="57.75">
      <c r="A61" s="18">
        <v>14104</v>
      </c>
      <c r="B61" s="18">
        <v>8015607</v>
      </c>
      <c r="C61" s="18">
        <v>2013</v>
      </c>
      <c r="D61" s="18" t="s">
        <v>4</v>
      </c>
      <c r="E61" s="18">
        <v>13</v>
      </c>
      <c r="F61" s="17" t="s">
        <v>104</v>
      </c>
    </row>
    <row r="62" spans="1:6" ht="57.75">
      <c r="A62" s="18">
        <v>1887</v>
      </c>
      <c r="B62" s="18">
        <v>8017121</v>
      </c>
      <c r="C62" s="18">
        <v>2015</v>
      </c>
      <c r="D62" s="18" t="s">
        <v>4</v>
      </c>
      <c r="E62" s="18">
        <v>13</v>
      </c>
      <c r="F62" s="17" t="s">
        <v>105</v>
      </c>
    </row>
    <row r="63" spans="1:6" ht="57.75">
      <c r="A63" s="18">
        <v>15134</v>
      </c>
      <c r="B63" s="18">
        <v>8010004</v>
      </c>
      <c r="C63" s="18">
        <v>2005</v>
      </c>
      <c r="D63" s="18" t="s">
        <v>8</v>
      </c>
      <c r="E63" s="18">
        <v>13</v>
      </c>
      <c r="F63" s="17" t="s">
        <v>106</v>
      </c>
    </row>
    <row r="64" spans="1:6" ht="57.75">
      <c r="A64" s="18">
        <v>1248</v>
      </c>
      <c r="B64" s="18">
        <v>8015965</v>
      </c>
      <c r="C64" s="18">
        <v>2013</v>
      </c>
      <c r="D64" s="18" t="s">
        <v>4</v>
      </c>
      <c r="E64" s="18">
        <v>13</v>
      </c>
      <c r="F64" s="17" t="s">
        <v>107</v>
      </c>
    </row>
    <row r="65" spans="1:6" ht="57.75">
      <c r="A65" s="18">
        <v>15140</v>
      </c>
      <c r="B65" s="18">
        <v>8005943</v>
      </c>
      <c r="C65" s="18">
        <v>2003</v>
      </c>
      <c r="D65" s="18" t="s">
        <v>8</v>
      </c>
      <c r="E65" s="18">
        <v>13</v>
      </c>
      <c r="F65" s="17" t="s">
        <v>108</v>
      </c>
    </row>
    <row r="66" spans="1:6" ht="57.75">
      <c r="A66" s="18">
        <v>1390</v>
      </c>
      <c r="B66" s="18">
        <v>8015279</v>
      </c>
      <c r="C66" s="18">
        <v>2012</v>
      </c>
      <c r="D66" s="18" t="s">
        <v>4</v>
      </c>
      <c r="E66" s="18">
        <v>13</v>
      </c>
      <c r="F66" s="17" t="s">
        <v>109</v>
      </c>
    </row>
    <row r="67" spans="1:6" ht="57.75">
      <c r="A67" s="18">
        <v>1885</v>
      </c>
      <c r="B67" s="18">
        <v>8010098</v>
      </c>
      <c r="C67" s="18">
        <v>2006</v>
      </c>
      <c r="D67" s="18" t="s">
        <v>8</v>
      </c>
      <c r="E67" s="18">
        <v>13</v>
      </c>
      <c r="F67" s="17" t="s">
        <v>110</v>
      </c>
    </row>
    <row r="68" spans="1:6" ht="57.75">
      <c r="A68" s="18">
        <v>16115</v>
      </c>
      <c r="B68" s="18">
        <v>8016424</v>
      </c>
      <c r="C68" s="18">
        <v>2014</v>
      </c>
      <c r="D68" s="18" t="s">
        <v>4</v>
      </c>
      <c r="E68" s="18">
        <v>14</v>
      </c>
      <c r="F68" s="17" t="s">
        <v>111</v>
      </c>
    </row>
    <row r="69" spans="1:6" ht="57.75">
      <c r="A69" s="18">
        <v>1391</v>
      </c>
      <c r="B69" s="18">
        <v>8016058</v>
      </c>
      <c r="C69" s="18">
        <v>2013</v>
      </c>
      <c r="D69" s="18" t="s">
        <v>4</v>
      </c>
      <c r="E69" s="18">
        <v>14</v>
      </c>
      <c r="F69" s="17" t="s">
        <v>112</v>
      </c>
    </row>
    <row r="70" spans="1:6" ht="57.75">
      <c r="A70" s="18">
        <v>2106</v>
      </c>
      <c r="B70" s="18">
        <v>8020937</v>
      </c>
      <c r="C70" s="18">
        <v>2022</v>
      </c>
      <c r="D70" s="18" t="s">
        <v>7</v>
      </c>
      <c r="E70" s="18">
        <v>14</v>
      </c>
      <c r="F70" s="17" t="s">
        <v>113</v>
      </c>
    </row>
    <row r="71" spans="1:6" ht="57.75">
      <c r="A71" s="18" t="s">
        <v>114</v>
      </c>
      <c r="B71" s="18">
        <v>-8019089</v>
      </c>
      <c r="C71" s="18">
        <v>2019</v>
      </c>
      <c r="D71" s="18" t="s">
        <v>10</v>
      </c>
      <c r="E71" s="18">
        <v>15</v>
      </c>
      <c r="F71" s="17" t="s">
        <v>115</v>
      </c>
    </row>
    <row r="72" spans="1:6" ht="57.75">
      <c r="A72" s="18" t="s">
        <v>116</v>
      </c>
      <c r="B72" s="18">
        <v>8017180</v>
      </c>
      <c r="C72" s="18">
        <v>2015</v>
      </c>
      <c r="D72" s="18" t="s">
        <v>10</v>
      </c>
      <c r="E72" s="18">
        <v>15</v>
      </c>
      <c r="F72" s="17" t="s">
        <v>117</v>
      </c>
    </row>
    <row r="73" spans="1:6" ht="57.75">
      <c r="A73" s="18" t="s">
        <v>118</v>
      </c>
      <c r="B73" s="18">
        <v>8018673</v>
      </c>
      <c r="C73" s="18">
        <v>2018</v>
      </c>
      <c r="D73" s="18" t="s">
        <v>10</v>
      </c>
      <c r="E73" s="18">
        <v>16</v>
      </c>
      <c r="F73" s="17" t="s">
        <v>119</v>
      </c>
    </row>
    <row r="74" spans="1:6" ht="57.75">
      <c r="A74" s="18" t="s">
        <v>120</v>
      </c>
      <c r="B74" s="18">
        <v>8018647</v>
      </c>
      <c r="C74" s="18">
        <v>2018</v>
      </c>
      <c r="D74" s="18" t="s">
        <v>10</v>
      </c>
      <c r="E74" s="18">
        <v>17</v>
      </c>
      <c r="F74" s="17" t="s">
        <v>121</v>
      </c>
    </row>
    <row r="75" spans="1:6" ht="57.75">
      <c r="A75" s="18" t="s">
        <v>122</v>
      </c>
      <c r="B75" s="18">
        <v>8018240</v>
      </c>
      <c r="C75" s="18">
        <v>2017</v>
      </c>
      <c r="D75" s="18" t="s">
        <v>10</v>
      </c>
      <c r="E75" s="18">
        <v>17</v>
      </c>
      <c r="F75" s="17" t="s">
        <v>123</v>
      </c>
    </row>
    <row r="76" spans="1:6" ht="57.75">
      <c r="A76" s="18" t="s">
        <v>124</v>
      </c>
      <c r="B76" s="18">
        <v>8018236</v>
      </c>
      <c r="C76" s="18">
        <v>2017</v>
      </c>
      <c r="D76" s="18" t="s">
        <v>10</v>
      </c>
      <c r="E76" s="18">
        <v>17</v>
      </c>
      <c r="F76" s="17" t="s">
        <v>125</v>
      </c>
    </row>
    <row r="77" spans="1:6" ht="57.75">
      <c r="A77" s="18">
        <v>1783</v>
      </c>
      <c r="B77" s="18">
        <v>-8017263</v>
      </c>
      <c r="C77" s="18">
        <v>2020</v>
      </c>
      <c r="D77" s="18" t="s">
        <v>7</v>
      </c>
      <c r="E77" s="18">
        <v>19</v>
      </c>
      <c r="F77" s="17" t="s">
        <v>126</v>
      </c>
    </row>
    <row r="78" spans="1:6" ht="57.75">
      <c r="A78" s="18">
        <v>1471</v>
      </c>
      <c r="B78" s="18">
        <v>8019091</v>
      </c>
      <c r="C78" s="18">
        <v>2019</v>
      </c>
      <c r="D78" s="18" t="s">
        <v>7</v>
      </c>
      <c r="E78" s="18">
        <v>20</v>
      </c>
      <c r="F78" s="17" t="s">
        <v>127</v>
      </c>
    </row>
    <row r="79" spans="1:6" ht="57.75">
      <c r="A79" s="18" t="s">
        <v>128</v>
      </c>
      <c r="B79" s="18">
        <v>8021254</v>
      </c>
      <c r="C79" s="18">
        <v>2022</v>
      </c>
      <c r="D79" s="18" t="s">
        <v>9</v>
      </c>
      <c r="E79" s="18">
        <v>21</v>
      </c>
      <c r="F79" s="17" t="s">
        <v>129</v>
      </c>
    </row>
    <row r="80" spans="1:6" ht="57.75">
      <c r="A80" s="18" t="s">
        <v>130</v>
      </c>
      <c r="B80" s="18">
        <v>8019087</v>
      </c>
      <c r="C80" s="18">
        <v>2019</v>
      </c>
      <c r="D80" s="18" t="s">
        <v>10</v>
      </c>
      <c r="E80" s="18">
        <v>21</v>
      </c>
      <c r="F80" s="17" t="s">
        <v>131</v>
      </c>
    </row>
    <row r="81" spans="1:6" ht="57.75">
      <c r="A81" s="18" t="s">
        <v>132</v>
      </c>
      <c r="B81" s="18">
        <v>8018738</v>
      </c>
      <c r="C81" s="18">
        <v>2018</v>
      </c>
      <c r="D81" s="18" t="s">
        <v>10</v>
      </c>
      <c r="E81" s="18">
        <v>21</v>
      </c>
      <c r="F81" s="17" t="s">
        <v>133</v>
      </c>
    </row>
    <row r="82" spans="1:6" ht="57.75">
      <c r="A82" s="18">
        <v>15136</v>
      </c>
      <c r="B82" s="18">
        <v>8006938</v>
      </c>
      <c r="C82" s="18">
        <v>2003</v>
      </c>
      <c r="D82" s="18" t="s">
        <v>8</v>
      </c>
      <c r="E82" s="18">
        <v>21</v>
      </c>
      <c r="F82" s="17" t="s">
        <v>134</v>
      </c>
    </row>
    <row r="83" spans="1:6" ht="72.75">
      <c r="A83" s="18" t="s">
        <v>135</v>
      </c>
      <c r="B83" s="18">
        <v>8017836</v>
      </c>
      <c r="C83" s="18">
        <v>2016</v>
      </c>
      <c r="D83" s="18" t="s">
        <v>10</v>
      </c>
      <c r="E83" s="18">
        <v>21</v>
      </c>
      <c r="F83" s="17" t="s">
        <v>136</v>
      </c>
    </row>
    <row r="84" spans="1:6" ht="57.75">
      <c r="A84" s="18">
        <v>17131</v>
      </c>
      <c r="B84" s="18">
        <v>8020958</v>
      </c>
      <c r="C84" s="18">
        <v>2022</v>
      </c>
      <c r="D84" s="18" t="s">
        <v>7</v>
      </c>
      <c r="E84" s="18">
        <v>22</v>
      </c>
      <c r="F84" s="17" t="s">
        <v>137</v>
      </c>
    </row>
    <row r="85" spans="1:6" ht="57.75">
      <c r="A85" s="18">
        <v>1940</v>
      </c>
      <c r="B85" s="18">
        <v>8018464</v>
      </c>
      <c r="C85" s="18">
        <v>2018</v>
      </c>
      <c r="D85" s="18" t="s">
        <v>7</v>
      </c>
      <c r="E85" s="18">
        <v>22</v>
      </c>
      <c r="F85" s="17" t="s">
        <v>138</v>
      </c>
    </row>
    <row r="86" spans="1:6" ht="57.75">
      <c r="A86" s="18">
        <v>1476</v>
      </c>
      <c r="B86" s="18">
        <v>8017960</v>
      </c>
      <c r="C86" s="18">
        <v>2019</v>
      </c>
      <c r="D86" s="18" t="s">
        <v>7</v>
      </c>
      <c r="E86" s="18">
        <v>22</v>
      </c>
      <c r="F86" s="17" t="s">
        <v>139</v>
      </c>
    </row>
    <row r="87" spans="1:6" ht="57.75">
      <c r="A87" s="18">
        <v>1965</v>
      </c>
      <c r="B87" s="18">
        <v>8021542</v>
      </c>
      <c r="C87" s="18">
        <v>2022</v>
      </c>
      <c r="D87" s="18" t="s">
        <v>7</v>
      </c>
      <c r="E87" s="18">
        <v>22</v>
      </c>
      <c r="F87" s="17" t="s">
        <v>140</v>
      </c>
    </row>
    <row r="88" spans="1:6" ht="57.75">
      <c r="A88" s="18">
        <v>15141</v>
      </c>
      <c r="B88" s="18">
        <v>8009101</v>
      </c>
      <c r="C88" s="18">
        <v>2005</v>
      </c>
      <c r="D88" s="18" t="s">
        <v>8</v>
      </c>
      <c r="E88" s="18">
        <v>23</v>
      </c>
      <c r="F88" s="17" t="s">
        <v>141</v>
      </c>
    </row>
    <row r="89" spans="1:6" ht="57.75">
      <c r="A89" s="18">
        <v>14106</v>
      </c>
      <c r="B89" s="18">
        <v>8019113</v>
      </c>
      <c r="C89" s="18">
        <v>2019</v>
      </c>
      <c r="D89" s="18" t="s">
        <v>7</v>
      </c>
      <c r="E89" s="18">
        <v>23</v>
      </c>
      <c r="F89" s="17" t="s">
        <v>142</v>
      </c>
    </row>
    <row r="90" spans="1:6" ht="57.75">
      <c r="A90" s="18">
        <v>15139</v>
      </c>
      <c r="B90" s="18">
        <v>8009980</v>
      </c>
      <c r="C90" s="18">
        <v>2005</v>
      </c>
      <c r="D90" s="18" t="s">
        <v>8</v>
      </c>
      <c r="E90" s="18">
        <v>23</v>
      </c>
      <c r="F90" s="17" t="s">
        <v>143</v>
      </c>
    </row>
    <row r="91" spans="1:6" ht="57.75">
      <c r="A91" s="18">
        <v>1939</v>
      </c>
      <c r="B91" s="18">
        <v>8018156</v>
      </c>
      <c r="C91" s="18">
        <v>2017</v>
      </c>
      <c r="D91" s="18" t="s">
        <v>7</v>
      </c>
      <c r="E91" s="18">
        <v>23</v>
      </c>
      <c r="F91" s="17" t="s">
        <v>144</v>
      </c>
    </row>
    <row r="92" spans="1:6" ht="57.75">
      <c r="A92" s="18" t="s">
        <v>145</v>
      </c>
      <c r="B92" s="18">
        <v>8018219</v>
      </c>
      <c r="C92" s="18">
        <v>2017</v>
      </c>
      <c r="D92" s="18" t="s">
        <v>10</v>
      </c>
      <c r="E92" s="18">
        <v>23</v>
      </c>
      <c r="F92" s="17" t="s">
        <v>146</v>
      </c>
    </row>
    <row r="93" spans="1:6" ht="57.75">
      <c r="A93" s="18" t="s">
        <v>147</v>
      </c>
      <c r="B93" s="18">
        <v>8018718</v>
      </c>
      <c r="C93" s="18">
        <v>2018</v>
      </c>
      <c r="D93" s="18" t="s">
        <v>10</v>
      </c>
      <c r="E93" s="18" t="s">
        <v>22</v>
      </c>
      <c r="F93" s="17" t="s">
        <v>148</v>
      </c>
    </row>
    <row r="94" spans="1:6" ht="57.75">
      <c r="A94" s="18" t="s">
        <v>149</v>
      </c>
      <c r="B94" s="18">
        <v>8019073</v>
      </c>
      <c r="C94" s="18">
        <v>2019</v>
      </c>
      <c r="D94" s="18" t="s">
        <v>10</v>
      </c>
      <c r="E94" s="18" t="s">
        <v>22</v>
      </c>
      <c r="F94" s="17" t="s">
        <v>150</v>
      </c>
    </row>
    <row r="95" spans="1:6" ht="57.75">
      <c r="A95" s="18">
        <v>15142</v>
      </c>
      <c r="B95" s="18">
        <v>8008496</v>
      </c>
      <c r="C95" s="18">
        <v>2004</v>
      </c>
      <c r="D95" s="18" t="s">
        <v>8</v>
      </c>
      <c r="E95" s="18" t="s">
        <v>22</v>
      </c>
      <c r="F95" s="17" t="s">
        <v>151</v>
      </c>
    </row>
    <row r="96" spans="1:6" ht="57.75">
      <c r="A96" s="18">
        <v>15132</v>
      </c>
      <c r="B96" s="18">
        <v>8007261</v>
      </c>
      <c r="C96" s="18">
        <v>2003</v>
      </c>
      <c r="D96" s="18" t="s">
        <v>8</v>
      </c>
      <c r="E96" s="18" t="s">
        <v>15</v>
      </c>
      <c r="F96" s="17" t="s">
        <v>152</v>
      </c>
    </row>
    <row r="97" spans="1:6" ht="57.75">
      <c r="A97" s="18">
        <v>1483</v>
      </c>
      <c r="B97" s="18">
        <v>8011191</v>
      </c>
      <c r="C97" s="18">
        <v>2007</v>
      </c>
      <c r="D97" s="18" t="s">
        <v>4</v>
      </c>
      <c r="E97" s="18" t="s">
        <v>15</v>
      </c>
      <c r="F97" s="17" t="s">
        <v>153</v>
      </c>
    </row>
  </sheetData>
  <protectedRanges>
    <protectedRange sqref="A1:F97" name="Range1"/>
  </protectedRange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" width="21.5703125" bestFit="1" customWidth="1"/>
    <col min="2" max="2" width="18.85546875" customWidth="1"/>
    <col min="3" max="3" width="11.5703125" bestFit="1" customWidth="1"/>
    <col min="4" max="4" width="18.42578125" customWidth="1"/>
    <col min="5" max="5" width="12.42578125" customWidth="1"/>
    <col min="6" max="6" width="17.140625" bestFit="1" customWidth="1"/>
    <col min="7" max="7" width="14.85546875" customWidth="1"/>
    <col min="8" max="8" width="17.28515625" style="90" customWidth="1"/>
    <col min="9" max="9" width="17.28515625" customWidth="1"/>
    <col min="11" max="11" width="19.7109375" bestFit="1" customWidth="1"/>
  </cols>
  <sheetData>
    <row r="1" spans="1:11">
      <c r="A1" s="83" t="s">
        <v>36</v>
      </c>
      <c r="B1" s="82" t="s">
        <v>37</v>
      </c>
      <c r="C1" s="82" t="s">
        <v>38</v>
      </c>
      <c r="D1" s="82" t="s">
        <v>3</v>
      </c>
      <c r="E1" s="82" t="s">
        <v>2</v>
      </c>
      <c r="F1" s="82" t="s">
        <v>20</v>
      </c>
      <c r="G1" s="84" t="s">
        <v>12</v>
      </c>
      <c r="H1" s="86" t="s">
        <v>154</v>
      </c>
    </row>
    <row r="2" spans="1:11">
      <c r="A2" s="72" t="s">
        <v>155</v>
      </c>
      <c r="B2" s="68">
        <v>8020936</v>
      </c>
      <c r="C2" s="68">
        <v>2022</v>
      </c>
      <c r="D2" s="68">
        <v>20</v>
      </c>
      <c r="E2" s="68" t="s">
        <v>7</v>
      </c>
      <c r="F2" s="68" t="s">
        <v>41</v>
      </c>
      <c r="G2" s="77" t="s">
        <v>14</v>
      </c>
      <c r="H2" s="87">
        <v>45700</v>
      </c>
    </row>
    <row r="3" spans="1:11">
      <c r="A3" s="72" t="s">
        <v>156</v>
      </c>
      <c r="B3" s="68">
        <v>8016221</v>
      </c>
      <c r="C3" s="68">
        <v>2013</v>
      </c>
      <c r="D3" s="68">
        <v>20</v>
      </c>
      <c r="E3" s="68" t="s">
        <v>4</v>
      </c>
      <c r="F3" s="68" t="s">
        <v>41</v>
      </c>
      <c r="G3" s="77" t="s">
        <v>14</v>
      </c>
      <c r="H3" s="88">
        <v>45769</v>
      </c>
      <c r="J3" s="29" t="s">
        <v>157</v>
      </c>
      <c r="K3" s="29" t="s">
        <v>158</v>
      </c>
    </row>
    <row r="4" spans="1:11">
      <c r="A4" s="72" t="s">
        <v>159</v>
      </c>
      <c r="B4" s="68">
        <v>8015556</v>
      </c>
      <c r="C4" s="68">
        <v>2012</v>
      </c>
      <c r="D4" s="68">
        <v>19</v>
      </c>
      <c r="E4" s="68" t="s">
        <v>4</v>
      </c>
      <c r="F4" s="68" t="s">
        <v>41</v>
      </c>
      <c r="G4" s="77" t="s">
        <v>14</v>
      </c>
      <c r="H4" s="88">
        <v>45723</v>
      </c>
      <c r="J4" s="29" t="s">
        <v>160</v>
      </c>
      <c r="K4" s="29" t="s">
        <v>161</v>
      </c>
    </row>
    <row r="5" spans="1:11">
      <c r="A5" s="72" t="s">
        <v>162</v>
      </c>
      <c r="B5" s="68">
        <v>8015749</v>
      </c>
      <c r="C5" s="68">
        <v>2013</v>
      </c>
      <c r="D5" s="68">
        <v>14</v>
      </c>
      <c r="E5" s="68" t="s">
        <v>4</v>
      </c>
      <c r="F5" s="68" t="s">
        <v>41</v>
      </c>
      <c r="G5" s="77" t="s">
        <v>14</v>
      </c>
      <c r="H5" s="91">
        <v>45646</v>
      </c>
      <c r="J5" s="29" t="s">
        <v>163</v>
      </c>
      <c r="K5" s="29" t="s">
        <v>164</v>
      </c>
    </row>
    <row r="6" spans="1:11">
      <c r="A6" s="72" t="s">
        <v>165</v>
      </c>
      <c r="B6" s="68">
        <v>8015606</v>
      </c>
      <c r="C6" s="68">
        <v>2013</v>
      </c>
      <c r="D6" s="68">
        <v>16</v>
      </c>
      <c r="E6" s="68" t="s">
        <v>4</v>
      </c>
      <c r="F6" s="68" t="s">
        <v>41</v>
      </c>
      <c r="G6" s="77" t="s">
        <v>14</v>
      </c>
      <c r="H6" s="88">
        <v>45866</v>
      </c>
      <c r="J6" s="29" t="s">
        <v>166</v>
      </c>
      <c r="K6" s="29" t="s">
        <v>167</v>
      </c>
    </row>
    <row r="7" spans="1:11">
      <c r="A7" s="72" t="s">
        <v>168</v>
      </c>
      <c r="B7" s="68">
        <v>8004605</v>
      </c>
      <c r="C7" s="68">
        <v>2001</v>
      </c>
      <c r="D7" s="68">
        <v>15</v>
      </c>
      <c r="E7" s="68" t="s">
        <v>8</v>
      </c>
      <c r="F7" s="68" t="s">
        <v>41</v>
      </c>
      <c r="G7" s="77" t="s">
        <v>14</v>
      </c>
      <c r="H7" s="88">
        <v>45668</v>
      </c>
      <c r="J7" s="29" t="s">
        <v>169</v>
      </c>
      <c r="K7" s="29" t="s">
        <v>170</v>
      </c>
    </row>
    <row r="8" spans="1:11">
      <c r="A8" s="72" t="s">
        <v>171</v>
      </c>
      <c r="B8" s="68">
        <v>8013492</v>
      </c>
      <c r="C8" s="68">
        <v>2010</v>
      </c>
      <c r="D8" s="68">
        <v>17</v>
      </c>
      <c r="E8" s="68" t="s">
        <v>4</v>
      </c>
      <c r="F8" s="68" t="s">
        <v>41</v>
      </c>
      <c r="G8" s="77" t="s">
        <v>14</v>
      </c>
      <c r="H8" s="88">
        <v>45896</v>
      </c>
    </row>
    <row r="9" spans="1:11">
      <c r="A9" s="72" t="s">
        <v>172</v>
      </c>
      <c r="B9" s="68">
        <v>8015522</v>
      </c>
      <c r="C9" s="68">
        <v>2012</v>
      </c>
      <c r="D9" s="68">
        <v>18</v>
      </c>
      <c r="E9" s="68" t="s">
        <v>4</v>
      </c>
      <c r="F9" s="68" t="s">
        <v>41</v>
      </c>
      <c r="G9" s="77" t="s">
        <v>14</v>
      </c>
      <c r="H9" s="88">
        <v>45859</v>
      </c>
    </row>
    <row r="10" spans="1:11">
      <c r="A10" s="72" t="s">
        <v>173</v>
      </c>
      <c r="B10" s="68">
        <v>8015837</v>
      </c>
      <c r="C10" s="68">
        <v>2013</v>
      </c>
      <c r="D10" s="68">
        <v>13</v>
      </c>
      <c r="E10" s="68" t="s">
        <v>4</v>
      </c>
      <c r="F10" s="68" t="s">
        <v>41</v>
      </c>
      <c r="G10" s="77" t="s">
        <v>14</v>
      </c>
      <c r="H10" s="88">
        <v>45918</v>
      </c>
    </row>
    <row r="11" spans="1:11">
      <c r="A11" s="72" t="s">
        <v>174</v>
      </c>
      <c r="B11" s="68">
        <v>8014553</v>
      </c>
      <c r="C11" s="68">
        <v>2011</v>
      </c>
      <c r="D11" s="68">
        <v>15</v>
      </c>
      <c r="E11" s="68" t="s">
        <v>4</v>
      </c>
      <c r="F11" s="68" t="s">
        <v>41</v>
      </c>
      <c r="G11" s="77" t="s">
        <v>14</v>
      </c>
      <c r="H11" s="91">
        <v>45654</v>
      </c>
    </row>
    <row r="12" spans="1:11">
      <c r="A12" s="72" t="s">
        <v>175</v>
      </c>
      <c r="B12" s="68">
        <v>8016050</v>
      </c>
      <c r="C12" s="68">
        <v>2013</v>
      </c>
      <c r="D12" s="68">
        <v>12</v>
      </c>
      <c r="E12" s="68" t="s">
        <v>4</v>
      </c>
      <c r="F12" s="68" t="s">
        <v>41</v>
      </c>
      <c r="G12" s="77" t="s">
        <v>14</v>
      </c>
      <c r="H12" s="88">
        <v>45895</v>
      </c>
    </row>
    <row r="13" spans="1:11">
      <c r="A13" s="72" t="s">
        <v>176</v>
      </c>
      <c r="B13" s="68">
        <v>8016043</v>
      </c>
      <c r="C13" s="68">
        <v>2013</v>
      </c>
      <c r="D13" s="68">
        <v>16</v>
      </c>
      <c r="E13" s="68" t="s">
        <v>4</v>
      </c>
      <c r="F13" s="68" t="s">
        <v>41</v>
      </c>
      <c r="G13" s="77" t="s">
        <v>14</v>
      </c>
      <c r="H13" s="88">
        <v>45826</v>
      </c>
    </row>
    <row r="14" spans="1:11">
      <c r="A14" s="72" t="s">
        <v>177</v>
      </c>
      <c r="B14" s="68">
        <v>8018469</v>
      </c>
      <c r="C14" s="68">
        <v>2018</v>
      </c>
      <c r="D14" s="68">
        <v>17</v>
      </c>
      <c r="E14" s="68" t="s">
        <v>7</v>
      </c>
      <c r="F14" s="68">
        <v>1</v>
      </c>
      <c r="G14" s="77" t="s">
        <v>14</v>
      </c>
      <c r="H14" s="88">
        <v>45735</v>
      </c>
    </row>
    <row r="15" spans="1:11">
      <c r="A15" s="72" t="s">
        <v>178</v>
      </c>
      <c r="B15" s="68">
        <v>8017966</v>
      </c>
      <c r="C15" s="68">
        <v>2017</v>
      </c>
      <c r="D15" s="68">
        <v>17</v>
      </c>
      <c r="E15" s="68" t="s">
        <v>7</v>
      </c>
      <c r="F15" s="68">
        <v>1</v>
      </c>
      <c r="G15" s="77" t="s">
        <v>14</v>
      </c>
      <c r="H15" s="88">
        <v>45742</v>
      </c>
    </row>
    <row r="16" spans="1:11">
      <c r="A16" s="72" t="s">
        <v>179</v>
      </c>
      <c r="B16" s="68">
        <v>8015277</v>
      </c>
      <c r="C16" s="68">
        <v>2012</v>
      </c>
      <c r="D16" s="68">
        <v>13</v>
      </c>
      <c r="E16" s="68" t="s">
        <v>4</v>
      </c>
      <c r="F16" s="68">
        <v>1</v>
      </c>
      <c r="G16" s="77" t="s">
        <v>14</v>
      </c>
      <c r="H16" s="88">
        <v>45747</v>
      </c>
    </row>
    <row r="17" spans="1:8">
      <c r="A17" s="72" t="s">
        <v>180</v>
      </c>
      <c r="B17" s="68">
        <v>8019095</v>
      </c>
      <c r="C17" s="68">
        <v>2019</v>
      </c>
      <c r="D17" s="68">
        <v>17</v>
      </c>
      <c r="E17" s="68" t="s">
        <v>7</v>
      </c>
      <c r="F17" s="68">
        <v>1</v>
      </c>
      <c r="G17" s="77" t="s">
        <v>14</v>
      </c>
      <c r="H17" s="88">
        <v>45755</v>
      </c>
    </row>
    <row r="18" spans="1:8">
      <c r="A18" s="72" t="s">
        <v>181</v>
      </c>
      <c r="B18" s="68">
        <v>8018466</v>
      </c>
      <c r="C18" s="68">
        <v>2018</v>
      </c>
      <c r="D18" s="68">
        <v>17</v>
      </c>
      <c r="E18" s="68" t="s">
        <v>7</v>
      </c>
      <c r="F18" s="68">
        <v>1</v>
      </c>
      <c r="G18" s="77" t="s">
        <v>14</v>
      </c>
      <c r="H18" s="88">
        <v>45747</v>
      </c>
    </row>
    <row r="19" spans="1:8">
      <c r="A19" s="72" t="s">
        <v>182</v>
      </c>
      <c r="B19" s="68">
        <v>8018272</v>
      </c>
      <c r="C19" s="68">
        <v>2017</v>
      </c>
      <c r="D19" s="68">
        <v>17</v>
      </c>
      <c r="E19" s="68" t="s">
        <v>7</v>
      </c>
      <c r="F19" s="68">
        <v>1</v>
      </c>
      <c r="G19" s="77" t="s">
        <v>14</v>
      </c>
      <c r="H19" s="91">
        <v>45613</v>
      </c>
    </row>
    <row r="20" spans="1:8">
      <c r="A20" s="72" t="s">
        <v>183</v>
      </c>
      <c r="B20" s="68">
        <v>8019094</v>
      </c>
      <c r="C20" s="68">
        <v>2019</v>
      </c>
      <c r="D20" s="68">
        <v>16</v>
      </c>
      <c r="E20" s="68" t="s">
        <v>7</v>
      </c>
      <c r="F20" s="68">
        <v>1</v>
      </c>
      <c r="G20" s="77" t="s">
        <v>14</v>
      </c>
      <c r="H20" s="88">
        <v>45754</v>
      </c>
    </row>
    <row r="21" spans="1:8">
      <c r="A21" s="72" t="s">
        <v>184</v>
      </c>
      <c r="B21" s="68">
        <v>8019116</v>
      </c>
      <c r="C21" s="68">
        <v>2019</v>
      </c>
      <c r="D21" s="68">
        <v>16</v>
      </c>
      <c r="E21" s="68" t="s">
        <v>7</v>
      </c>
      <c r="F21" s="68">
        <v>1</v>
      </c>
      <c r="G21" s="77" t="s">
        <v>14</v>
      </c>
      <c r="H21" s="88">
        <v>45922</v>
      </c>
    </row>
    <row r="22" spans="1:8">
      <c r="A22" s="72" t="s">
        <v>185</v>
      </c>
      <c r="B22" s="68">
        <v>8009086</v>
      </c>
      <c r="C22" s="68">
        <v>2005</v>
      </c>
      <c r="D22" s="68">
        <v>17</v>
      </c>
      <c r="E22" s="68" t="s">
        <v>8</v>
      </c>
      <c r="F22" s="68">
        <v>1</v>
      </c>
      <c r="G22" s="77" t="s">
        <v>14</v>
      </c>
      <c r="H22" s="91">
        <v>45645</v>
      </c>
    </row>
    <row r="23" spans="1:8">
      <c r="A23" s="72" t="s">
        <v>186</v>
      </c>
      <c r="B23" s="68">
        <v>8017240</v>
      </c>
      <c r="C23" s="68">
        <v>2015</v>
      </c>
      <c r="D23" s="68">
        <v>17</v>
      </c>
      <c r="E23" s="68" t="s">
        <v>7</v>
      </c>
      <c r="F23" s="68">
        <v>1</v>
      </c>
      <c r="G23" s="77" t="s">
        <v>14</v>
      </c>
      <c r="H23" s="91">
        <v>45538</v>
      </c>
    </row>
    <row r="24" spans="1:8">
      <c r="A24" s="72" t="s">
        <v>187</v>
      </c>
      <c r="B24" s="68">
        <v>8018269</v>
      </c>
      <c r="C24" s="68">
        <v>2017</v>
      </c>
      <c r="D24" s="68">
        <v>15</v>
      </c>
      <c r="E24" s="68" t="s">
        <v>7</v>
      </c>
      <c r="F24" s="68">
        <v>1</v>
      </c>
      <c r="G24" s="77" t="s">
        <v>14</v>
      </c>
      <c r="H24" s="88">
        <v>45926</v>
      </c>
    </row>
    <row r="25" spans="1:8">
      <c r="A25" s="72" t="s">
        <v>188</v>
      </c>
      <c r="B25" s="68">
        <v>8021543</v>
      </c>
      <c r="C25" s="68">
        <v>2022</v>
      </c>
      <c r="D25" s="68">
        <v>19</v>
      </c>
      <c r="E25" s="68" t="s">
        <v>7</v>
      </c>
      <c r="F25" s="68">
        <v>1</v>
      </c>
      <c r="G25" s="77" t="s">
        <v>14</v>
      </c>
      <c r="H25" s="88">
        <v>45891</v>
      </c>
    </row>
    <row r="26" spans="1:8">
      <c r="A26" s="72" t="s">
        <v>189</v>
      </c>
      <c r="B26" s="68">
        <v>8006106</v>
      </c>
      <c r="C26" s="68">
        <v>2003</v>
      </c>
      <c r="D26" s="68">
        <v>17</v>
      </c>
      <c r="E26" s="68" t="s">
        <v>8</v>
      </c>
      <c r="F26" s="68">
        <v>2</v>
      </c>
      <c r="G26" s="77" t="s">
        <v>14</v>
      </c>
      <c r="H26" s="88">
        <v>45667</v>
      </c>
    </row>
    <row r="27" spans="1:8">
      <c r="A27" s="72"/>
      <c r="B27" s="68">
        <v>8021599</v>
      </c>
      <c r="C27" s="68"/>
      <c r="D27" s="68">
        <v>16</v>
      </c>
      <c r="E27" s="68" t="s">
        <v>9</v>
      </c>
      <c r="F27" s="68">
        <v>2</v>
      </c>
      <c r="G27" s="77" t="s">
        <v>14</v>
      </c>
      <c r="H27" s="88"/>
    </row>
    <row r="28" spans="1:8">
      <c r="A28" s="72" t="s">
        <v>190</v>
      </c>
      <c r="B28" s="68">
        <v>8006181</v>
      </c>
      <c r="C28" s="68">
        <v>2003</v>
      </c>
      <c r="D28" s="68">
        <v>17</v>
      </c>
      <c r="E28" s="68" t="s">
        <v>8</v>
      </c>
      <c r="F28" s="68">
        <v>2</v>
      </c>
      <c r="G28" s="77" t="s">
        <v>14</v>
      </c>
      <c r="H28" s="91">
        <v>45649</v>
      </c>
    </row>
    <row r="29" spans="1:8">
      <c r="A29" s="72" t="s">
        <v>191</v>
      </c>
      <c r="B29" s="68">
        <v>8015927</v>
      </c>
      <c r="C29" s="68">
        <v>2013</v>
      </c>
      <c r="D29" s="68">
        <v>13</v>
      </c>
      <c r="E29" s="68" t="s">
        <v>4</v>
      </c>
      <c r="F29" s="68">
        <v>2</v>
      </c>
      <c r="G29" s="77" t="s">
        <v>14</v>
      </c>
      <c r="H29" s="88">
        <v>45691</v>
      </c>
    </row>
    <row r="30" spans="1:8">
      <c r="A30" s="72" t="s">
        <v>192</v>
      </c>
      <c r="B30" s="68">
        <v>8019105</v>
      </c>
      <c r="C30" s="68">
        <v>2019</v>
      </c>
      <c r="D30" s="68">
        <v>18</v>
      </c>
      <c r="E30" s="68" t="s">
        <v>7</v>
      </c>
      <c r="F30" s="68">
        <v>2</v>
      </c>
      <c r="G30" s="77" t="s">
        <v>14</v>
      </c>
      <c r="H30" s="88">
        <v>45730</v>
      </c>
    </row>
    <row r="31" spans="1:8">
      <c r="A31" s="72" t="s">
        <v>193</v>
      </c>
      <c r="B31" s="68">
        <v>8017955</v>
      </c>
      <c r="C31" s="68">
        <v>2017</v>
      </c>
      <c r="D31" s="68">
        <v>13</v>
      </c>
      <c r="E31" s="68" t="s">
        <v>7</v>
      </c>
      <c r="F31" s="68">
        <v>2</v>
      </c>
      <c r="G31" s="77" t="s">
        <v>14</v>
      </c>
      <c r="H31" s="88">
        <v>45880</v>
      </c>
    </row>
    <row r="32" spans="1:8">
      <c r="A32" s="72" t="s">
        <v>194</v>
      </c>
      <c r="B32" s="68">
        <v>8006107</v>
      </c>
      <c r="C32" s="68">
        <v>2003</v>
      </c>
      <c r="D32" s="68">
        <v>17</v>
      </c>
      <c r="E32" s="68" t="s">
        <v>8</v>
      </c>
      <c r="F32" s="68">
        <v>2</v>
      </c>
      <c r="G32" s="77" t="s">
        <v>14</v>
      </c>
      <c r="H32" s="91">
        <v>45648</v>
      </c>
    </row>
    <row r="33" spans="1:8">
      <c r="A33" s="72" t="s">
        <v>195</v>
      </c>
      <c r="B33" s="68">
        <v>8017230</v>
      </c>
      <c r="C33" s="68">
        <v>2015</v>
      </c>
      <c r="D33" s="68">
        <v>17</v>
      </c>
      <c r="E33" s="68" t="s">
        <v>7</v>
      </c>
      <c r="F33" s="68">
        <v>2</v>
      </c>
      <c r="G33" s="77" t="s">
        <v>14</v>
      </c>
      <c r="H33" s="88">
        <v>45714</v>
      </c>
    </row>
    <row r="34" spans="1:8">
      <c r="A34" s="72" t="s">
        <v>196</v>
      </c>
      <c r="B34" s="68">
        <v>8018975</v>
      </c>
      <c r="C34" s="68">
        <v>2019</v>
      </c>
      <c r="D34" s="68">
        <v>18</v>
      </c>
      <c r="E34" s="68" t="s">
        <v>7</v>
      </c>
      <c r="F34" s="68">
        <v>2</v>
      </c>
      <c r="G34" s="77" t="s">
        <v>14</v>
      </c>
      <c r="H34" s="88">
        <v>45675</v>
      </c>
    </row>
    <row r="35" spans="1:8">
      <c r="A35" s="72" t="s">
        <v>197</v>
      </c>
      <c r="B35" s="68">
        <v>8020934</v>
      </c>
      <c r="C35" s="68">
        <v>2022</v>
      </c>
      <c r="D35" s="68">
        <v>18</v>
      </c>
      <c r="E35" s="68" t="s">
        <v>7</v>
      </c>
      <c r="F35" s="68">
        <v>2</v>
      </c>
      <c r="G35" s="77" t="s">
        <v>14</v>
      </c>
      <c r="H35" s="88">
        <v>45918</v>
      </c>
    </row>
    <row r="36" spans="1:8">
      <c r="A36" s="72" t="s">
        <v>198</v>
      </c>
      <c r="B36" s="68">
        <v>8019237</v>
      </c>
      <c r="C36" s="68">
        <v>2020</v>
      </c>
      <c r="D36" s="68">
        <v>13</v>
      </c>
      <c r="E36" s="68" t="s">
        <v>7</v>
      </c>
      <c r="F36" s="68">
        <v>2</v>
      </c>
      <c r="G36" s="77" t="s">
        <v>14</v>
      </c>
      <c r="H36" s="88">
        <v>45787</v>
      </c>
    </row>
    <row r="37" spans="1:8">
      <c r="A37" s="72" t="s">
        <v>199</v>
      </c>
      <c r="B37" s="68">
        <v>8018388</v>
      </c>
      <c r="C37" s="68">
        <v>2018</v>
      </c>
      <c r="D37" s="68">
        <v>16</v>
      </c>
      <c r="E37" s="68" t="s">
        <v>7</v>
      </c>
      <c r="F37" s="68">
        <v>2</v>
      </c>
      <c r="G37" s="77" t="s">
        <v>14</v>
      </c>
      <c r="H37" s="88">
        <v>45899</v>
      </c>
    </row>
    <row r="38" spans="1:8">
      <c r="A38" s="72" t="s">
        <v>200</v>
      </c>
      <c r="B38" s="68">
        <v>8017961</v>
      </c>
      <c r="C38" s="68">
        <v>2017</v>
      </c>
      <c r="D38" s="68">
        <v>14</v>
      </c>
      <c r="E38" s="68" t="s">
        <v>7</v>
      </c>
      <c r="F38" s="68">
        <v>3</v>
      </c>
      <c r="G38" s="77" t="s">
        <v>14</v>
      </c>
      <c r="H38" s="88">
        <v>45775</v>
      </c>
    </row>
    <row r="39" spans="1:8">
      <c r="A39" s="72" t="s">
        <v>201</v>
      </c>
      <c r="B39" s="68">
        <v>8021545</v>
      </c>
      <c r="C39" s="68">
        <v>2022</v>
      </c>
      <c r="D39" s="68">
        <v>20</v>
      </c>
      <c r="E39" s="68" t="s">
        <v>7</v>
      </c>
      <c r="F39" s="68">
        <v>3</v>
      </c>
      <c r="G39" s="77" t="s">
        <v>14</v>
      </c>
      <c r="H39" s="91">
        <v>46027</v>
      </c>
    </row>
    <row r="40" spans="1:8">
      <c r="A40" s="72" t="s">
        <v>202</v>
      </c>
      <c r="B40" s="68">
        <v>8020832</v>
      </c>
      <c r="C40" s="68">
        <v>2022</v>
      </c>
      <c r="D40" s="68">
        <v>16</v>
      </c>
      <c r="E40" s="68" t="s">
        <v>7</v>
      </c>
      <c r="F40" s="68">
        <v>3</v>
      </c>
      <c r="G40" s="77" t="s">
        <v>14</v>
      </c>
      <c r="H40" s="88">
        <v>45772</v>
      </c>
    </row>
    <row r="41" spans="1:8">
      <c r="A41" s="72" t="s">
        <v>203</v>
      </c>
      <c r="B41" s="68">
        <v>8019241</v>
      </c>
      <c r="C41" s="68">
        <v>2020</v>
      </c>
      <c r="D41" s="68">
        <v>14</v>
      </c>
      <c r="E41" s="68" t="s">
        <v>7</v>
      </c>
      <c r="F41" s="68">
        <v>3</v>
      </c>
      <c r="G41" s="77" t="s">
        <v>14</v>
      </c>
      <c r="H41" s="88">
        <v>45821</v>
      </c>
    </row>
    <row r="42" spans="1:8">
      <c r="A42" s="72" t="s">
        <v>204</v>
      </c>
      <c r="B42" s="68">
        <v>8017959</v>
      </c>
      <c r="C42" s="68">
        <v>2017</v>
      </c>
      <c r="D42" s="68">
        <v>14</v>
      </c>
      <c r="E42" s="68" t="s">
        <v>7</v>
      </c>
      <c r="F42" s="68">
        <v>3</v>
      </c>
      <c r="G42" s="77" t="s">
        <v>14</v>
      </c>
      <c r="H42" s="88">
        <v>45906</v>
      </c>
    </row>
    <row r="43" spans="1:8">
      <c r="A43" s="72" t="s">
        <v>205</v>
      </c>
      <c r="B43" s="68">
        <v>8020823</v>
      </c>
      <c r="C43" s="68">
        <v>2022</v>
      </c>
      <c r="D43" s="68">
        <v>19</v>
      </c>
      <c r="E43" s="68" t="s">
        <v>7</v>
      </c>
      <c r="F43" s="68">
        <v>3</v>
      </c>
      <c r="G43" s="77" t="s">
        <v>14</v>
      </c>
      <c r="H43" s="88">
        <v>45842</v>
      </c>
    </row>
    <row r="44" spans="1:8">
      <c r="A44" s="72" t="s">
        <v>206</v>
      </c>
      <c r="B44" s="68">
        <v>8021544</v>
      </c>
      <c r="C44" s="68">
        <v>2022</v>
      </c>
      <c r="D44" s="68">
        <v>19</v>
      </c>
      <c r="E44" s="68" t="s">
        <v>7</v>
      </c>
      <c r="F44" s="68">
        <v>3</v>
      </c>
      <c r="G44" s="77" t="s">
        <v>14</v>
      </c>
      <c r="H44" s="88">
        <v>45863</v>
      </c>
    </row>
    <row r="45" spans="1:8">
      <c r="A45" s="72" t="s">
        <v>207</v>
      </c>
      <c r="B45" s="68">
        <v>8019107</v>
      </c>
      <c r="C45" s="68">
        <v>2019</v>
      </c>
      <c r="D45" s="68">
        <v>14</v>
      </c>
      <c r="E45" s="68" t="s">
        <v>7</v>
      </c>
      <c r="F45" s="68">
        <v>3</v>
      </c>
      <c r="G45" s="77" t="s">
        <v>14</v>
      </c>
      <c r="H45" s="88">
        <v>45818</v>
      </c>
    </row>
    <row r="46" spans="1:8">
      <c r="A46" s="72" t="s">
        <v>208</v>
      </c>
      <c r="B46" s="68">
        <v>8018811</v>
      </c>
      <c r="C46" s="68">
        <v>2019</v>
      </c>
      <c r="D46" s="68">
        <v>18</v>
      </c>
      <c r="E46" s="68" t="s">
        <v>7</v>
      </c>
      <c r="F46" s="68">
        <v>3</v>
      </c>
      <c r="G46" s="77" t="s">
        <v>14</v>
      </c>
      <c r="H46" s="91">
        <v>45638</v>
      </c>
    </row>
    <row r="47" spans="1:8">
      <c r="A47" s="72" t="s">
        <v>209</v>
      </c>
      <c r="B47" s="68">
        <v>8019108</v>
      </c>
      <c r="C47" s="68">
        <v>2019</v>
      </c>
      <c r="D47" s="68">
        <v>14</v>
      </c>
      <c r="E47" s="68" t="s">
        <v>7</v>
      </c>
      <c r="F47" s="68">
        <v>3</v>
      </c>
      <c r="G47" s="77" t="s">
        <v>14</v>
      </c>
      <c r="H47" s="88">
        <v>45681</v>
      </c>
    </row>
    <row r="48" spans="1:8">
      <c r="A48" s="72" t="s">
        <v>210</v>
      </c>
      <c r="B48" s="68">
        <v>8017963</v>
      </c>
      <c r="C48" s="68">
        <v>2017</v>
      </c>
      <c r="D48" s="68">
        <v>15</v>
      </c>
      <c r="E48" s="68" t="s">
        <v>7</v>
      </c>
      <c r="F48" s="68">
        <v>3</v>
      </c>
      <c r="G48" s="77" t="s">
        <v>14</v>
      </c>
      <c r="H48" s="88">
        <v>45693</v>
      </c>
    </row>
    <row r="49" spans="1:8">
      <c r="A49" s="72" t="s">
        <v>211</v>
      </c>
      <c r="B49" s="68">
        <v>8020938</v>
      </c>
      <c r="C49" s="68">
        <v>2022</v>
      </c>
      <c r="D49" s="68">
        <v>22</v>
      </c>
      <c r="E49" s="68" t="s">
        <v>7</v>
      </c>
      <c r="F49" s="68">
        <v>3</v>
      </c>
      <c r="G49" s="77" t="s">
        <v>14</v>
      </c>
      <c r="H49" s="88">
        <v>45869</v>
      </c>
    </row>
    <row r="50" spans="1:8">
      <c r="A50" s="72" t="s">
        <v>212</v>
      </c>
      <c r="B50" s="68">
        <v>8018369</v>
      </c>
      <c r="C50" s="68">
        <v>2018</v>
      </c>
      <c r="D50" s="68">
        <v>18</v>
      </c>
      <c r="E50" s="68" t="s">
        <v>7</v>
      </c>
      <c r="F50" s="68">
        <v>4</v>
      </c>
      <c r="G50" s="77" t="s">
        <v>14</v>
      </c>
      <c r="H50" s="88">
        <v>45696</v>
      </c>
    </row>
    <row r="51" spans="1:8">
      <c r="A51" s="72" t="s">
        <v>213</v>
      </c>
      <c r="B51" s="68">
        <v>8019126</v>
      </c>
      <c r="C51" s="68">
        <v>2019</v>
      </c>
      <c r="D51" s="68">
        <v>20</v>
      </c>
      <c r="E51" s="68" t="s">
        <v>7</v>
      </c>
      <c r="F51" s="68">
        <v>4</v>
      </c>
      <c r="G51" s="77" t="s">
        <v>14</v>
      </c>
      <c r="H51" s="91">
        <v>45632</v>
      </c>
    </row>
    <row r="52" spans="1:8">
      <c r="A52" s="72" t="s">
        <v>214</v>
      </c>
      <c r="B52" s="68">
        <v>8019124</v>
      </c>
      <c r="C52" s="68">
        <v>2019</v>
      </c>
      <c r="D52" s="68">
        <v>19</v>
      </c>
      <c r="E52" s="68" t="s">
        <v>7</v>
      </c>
      <c r="F52" s="68">
        <v>4</v>
      </c>
      <c r="G52" s="77" t="s">
        <v>14</v>
      </c>
      <c r="H52" s="88">
        <v>45904</v>
      </c>
    </row>
    <row r="53" spans="1:8">
      <c r="A53" s="72" t="s">
        <v>215</v>
      </c>
      <c r="B53" s="68">
        <v>8017979</v>
      </c>
      <c r="C53" s="68">
        <v>2017</v>
      </c>
      <c r="D53" s="68">
        <v>16</v>
      </c>
      <c r="E53" s="68" t="s">
        <v>7</v>
      </c>
      <c r="F53" s="68">
        <v>4</v>
      </c>
      <c r="G53" s="77" t="s">
        <v>14</v>
      </c>
      <c r="H53" s="91">
        <v>46027</v>
      </c>
    </row>
    <row r="54" spans="1:8">
      <c r="A54" s="72" t="s">
        <v>216</v>
      </c>
      <c r="B54" s="68">
        <v>8021186</v>
      </c>
      <c r="C54" s="68">
        <v>2022</v>
      </c>
      <c r="D54" s="68">
        <v>12</v>
      </c>
      <c r="E54" s="68" t="s">
        <v>7</v>
      </c>
      <c r="F54" s="68">
        <v>4</v>
      </c>
      <c r="G54" s="77" t="s">
        <v>14</v>
      </c>
      <c r="H54" s="88">
        <v>45705</v>
      </c>
    </row>
    <row r="55" spans="1:8">
      <c r="A55" s="72" t="s">
        <v>217</v>
      </c>
      <c r="B55" s="68">
        <v>8017180</v>
      </c>
      <c r="C55" s="68">
        <v>2015</v>
      </c>
      <c r="D55" s="68">
        <v>15</v>
      </c>
      <c r="E55" s="68" t="s">
        <v>7</v>
      </c>
      <c r="F55" s="68">
        <v>4</v>
      </c>
      <c r="G55" s="77" t="s">
        <v>14</v>
      </c>
      <c r="H55" s="88">
        <v>45923</v>
      </c>
    </row>
    <row r="56" spans="1:8">
      <c r="A56" s="72" t="s">
        <v>218</v>
      </c>
      <c r="B56" s="68">
        <v>8020939</v>
      </c>
      <c r="C56" s="68">
        <v>2022</v>
      </c>
      <c r="D56" s="68">
        <v>11</v>
      </c>
      <c r="E56" s="68" t="s">
        <v>7</v>
      </c>
      <c r="F56" s="68">
        <v>4</v>
      </c>
      <c r="G56" s="77" t="s">
        <v>14</v>
      </c>
      <c r="H56" s="88">
        <v>45853</v>
      </c>
    </row>
    <row r="57" spans="1:8">
      <c r="A57" s="72" t="s">
        <v>219</v>
      </c>
      <c r="B57" s="68">
        <v>8019090</v>
      </c>
      <c r="C57" s="68">
        <v>2019</v>
      </c>
      <c r="D57" s="68">
        <v>13</v>
      </c>
      <c r="E57" s="68" t="s">
        <v>7</v>
      </c>
      <c r="F57" s="68">
        <v>4</v>
      </c>
      <c r="G57" s="77" t="s">
        <v>14</v>
      </c>
      <c r="H57" s="91">
        <v>46023</v>
      </c>
    </row>
    <row r="58" spans="1:8">
      <c r="A58" s="72" t="s">
        <v>220</v>
      </c>
      <c r="B58" s="68">
        <v>8017243</v>
      </c>
      <c r="C58" s="68">
        <v>2015</v>
      </c>
      <c r="D58" s="68">
        <v>17</v>
      </c>
      <c r="E58" s="68" t="s">
        <v>7</v>
      </c>
      <c r="F58" s="68">
        <v>4</v>
      </c>
      <c r="G58" s="77" t="s">
        <v>14</v>
      </c>
      <c r="H58" s="88">
        <v>45797</v>
      </c>
    </row>
    <row r="59" spans="1:8">
      <c r="A59" s="72" t="s">
        <v>221</v>
      </c>
      <c r="B59" s="68">
        <v>8018510</v>
      </c>
      <c r="C59" s="68">
        <v>2018</v>
      </c>
      <c r="D59" s="68">
        <v>15</v>
      </c>
      <c r="E59" s="68" t="s">
        <v>7</v>
      </c>
      <c r="F59" s="68">
        <v>4</v>
      </c>
      <c r="G59" s="77" t="s">
        <v>14</v>
      </c>
      <c r="H59" s="91">
        <v>46027</v>
      </c>
    </row>
    <row r="60" spans="1:8">
      <c r="A60" s="72" t="s">
        <v>222</v>
      </c>
      <c r="B60" s="68">
        <v>8019111</v>
      </c>
      <c r="C60" s="68">
        <v>2019</v>
      </c>
      <c r="D60" s="68">
        <v>14</v>
      </c>
      <c r="E60" s="68" t="s">
        <v>7</v>
      </c>
      <c r="F60" s="68">
        <v>4</v>
      </c>
      <c r="G60" s="77" t="s">
        <v>14</v>
      </c>
      <c r="H60" s="88">
        <v>45809</v>
      </c>
    </row>
    <row r="61" spans="1:8">
      <c r="A61" s="72" t="s">
        <v>223</v>
      </c>
      <c r="B61" s="68">
        <v>8017229</v>
      </c>
      <c r="C61" s="68">
        <v>2015</v>
      </c>
      <c r="D61" s="68">
        <v>21</v>
      </c>
      <c r="E61" s="68" t="s">
        <v>7</v>
      </c>
      <c r="F61" s="68">
        <v>4</v>
      </c>
      <c r="G61" s="77" t="s">
        <v>14</v>
      </c>
      <c r="H61" s="88">
        <v>45744</v>
      </c>
    </row>
    <row r="62" spans="1:8">
      <c r="A62" s="72" t="s">
        <v>224</v>
      </c>
      <c r="B62" s="68">
        <v>8018384</v>
      </c>
      <c r="C62" s="68">
        <v>2018</v>
      </c>
      <c r="D62" s="68">
        <v>19</v>
      </c>
      <c r="E62" s="68" t="s">
        <v>7</v>
      </c>
      <c r="F62" s="68">
        <v>5</v>
      </c>
      <c r="G62" s="77" t="s">
        <v>14</v>
      </c>
      <c r="H62" s="91">
        <v>45635</v>
      </c>
    </row>
    <row r="63" spans="1:8">
      <c r="A63" s="72" t="s">
        <v>225</v>
      </c>
      <c r="B63" s="68">
        <v>8019092</v>
      </c>
      <c r="C63" s="68">
        <v>2019</v>
      </c>
      <c r="D63" s="68">
        <v>15</v>
      </c>
      <c r="E63" s="68" t="s">
        <v>7</v>
      </c>
      <c r="F63" s="68">
        <v>5</v>
      </c>
      <c r="G63" s="77" t="s">
        <v>14</v>
      </c>
      <c r="H63" s="88">
        <v>45919</v>
      </c>
    </row>
    <row r="64" spans="1:8">
      <c r="A64" s="72" t="s">
        <v>226</v>
      </c>
      <c r="B64" s="68">
        <v>8019117</v>
      </c>
      <c r="C64" s="68">
        <v>2019</v>
      </c>
      <c r="D64" s="68">
        <v>16</v>
      </c>
      <c r="E64" s="68" t="s">
        <v>7</v>
      </c>
      <c r="F64" s="68">
        <v>5</v>
      </c>
      <c r="G64" s="77" t="s">
        <v>14</v>
      </c>
      <c r="H64" s="88">
        <v>45701</v>
      </c>
    </row>
    <row r="65" spans="1:8">
      <c r="A65" s="72" t="s">
        <v>227</v>
      </c>
      <c r="B65" s="68">
        <v>8021172</v>
      </c>
      <c r="C65" s="68">
        <v>2022</v>
      </c>
      <c r="D65" s="68">
        <v>16</v>
      </c>
      <c r="E65" s="68" t="s">
        <v>7</v>
      </c>
      <c r="F65" s="68">
        <v>5</v>
      </c>
      <c r="G65" s="77" t="s">
        <v>14</v>
      </c>
      <c r="H65" s="88">
        <v>45779</v>
      </c>
    </row>
    <row r="66" spans="1:8">
      <c r="A66" s="72" t="s">
        <v>228</v>
      </c>
      <c r="B66" s="68" t="s">
        <v>229</v>
      </c>
      <c r="C66" s="68">
        <v>2017</v>
      </c>
      <c r="D66" s="68">
        <v>12</v>
      </c>
      <c r="E66" s="68" t="s">
        <v>7</v>
      </c>
      <c r="F66" s="68">
        <v>5</v>
      </c>
      <c r="G66" s="77" t="s">
        <v>14</v>
      </c>
      <c r="H66" s="91">
        <v>45286</v>
      </c>
    </row>
    <row r="67" spans="1:8">
      <c r="A67" s="72" t="s">
        <v>230</v>
      </c>
      <c r="B67" s="68">
        <v>8018974</v>
      </c>
      <c r="C67" s="68">
        <v>2019</v>
      </c>
      <c r="D67" s="68">
        <v>13</v>
      </c>
      <c r="E67" s="68" t="s">
        <v>7</v>
      </c>
      <c r="F67" s="68">
        <v>5</v>
      </c>
      <c r="G67" s="77" t="s">
        <v>14</v>
      </c>
      <c r="H67" s="88">
        <v>45887</v>
      </c>
    </row>
    <row r="68" spans="1:8">
      <c r="A68" s="72" t="s">
        <v>231</v>
      </c>
      <c r="B68" s="68">
        <v>8018365</v>
      </c>
      <c r="C68" s="68">
        <v>2018</v>
      </c>
      <c r="D68" s="68">
        <v>17</v>
      </c>
      <c r="E68" s="68" t="s">
        <v>7</v>
      </c>
      <c r="F68" s="68">
        <v>5</v>
      </c>
      <c r="G68" s="77" t="s">
        <v>14</v>
      </c>
      <c r="H68" s="88">
        <v>45806</v>
      </c>
    </row>
    <row r="69" spans="1:8">
      <c r="A69" s="72" t="s">
        <v>232</v>
      </c>
      <c r="B69" s="68">
        <v>8017226</v>
      </c>
      <c r="C69" s="68">
        <v>2015</v>
      </c>
      <c r="D69" s="68">
        <v>15</v>
      </c>
      <c r="E69" s="68" t="s">
        <v>7</v>
      </c>
      <c r="F69" s="68">
        <v>5</v>
      </c>
      <c r="G69" s="77" t="s">
        <v>14</v>
      </c>
      <c r="H69" s="88">
        <v>45911</v>
      </c>
    </row>
    <row r="70" spans="1:8">
      <c r="A70" s="72" t="s">
        <v>233</v>
      </c>
      <c r="B70" s="68">
        <v>8019093</v>
      </c>
      <c r="C70" s="68">
        <v>2019</v>
      </c>
      <c r="D70" s="68">
        <v>18</v>
      </c>
      <c r="E70" s="68" t="s">
        <v>7</v>
      </c>
      <c r="F70" s="68">
        <v>5</v>
      </c>
      <c r="G70" s="77" t="s">
        <v>14</v>
      </c>
      <c r="H70" s="88">
        <v>45603</v>
      </c>
    </row>
    <row r="71" spans="1:8">
      <c r="A71" s="72" t="s">
        <v>234</v>
      </c>
      <c r="B71" s="68">
        <v>8017982</v>
      </c>
      <c r="C71" s="68">
        <v>2017</v>
      </c>
      <c r="D71" s="68">
        <v>15</v>
      </c>
      <c r="E71" s="68" t="s">
        <v>7</v>
      </c>
      <c r="F71" s="68">
        <v>5</v>
      </c>
      <c r="G71" s="77" t="s">
        <v>14</v>
      </c>
      <c r="H71" s="88">
        <v>45836</v>
      </c>
    </row>
    <row r="72" spans="1:8">
      <c r="A72" s="72" t="s">
        <v>235</v>
      </c>
      <c r="B72" s="68">
        <v>8017252</v>
      </c>
      <c r="C72" s="68">
        <v>2015</v>
      </c>
      <c r="D72" s="68">
        <v>17</v>
      </c>
      <c r="E72" s="68" t="s">
        <v>7</v>
      </c>
      <c r="F72" s="68">
        <v>5</v>
      </c>
      <c r="G72" s="77" t="s">
        <v>14</v>
      </c>
      <c r="H72" s="88">
        <v>45912</v>
      </c>
    </row>
    <row r="73" spans="1:8">
      <c r="A73" s="72" t="s">
        <v>236</v>
      </c>
      <c r="B73" s="68">
        <v>8019104</v>
      </c>
      <c r="C73" s="68">
        <v>2019</v>
      </c>
      <c r="D73" s="68">
        <v>18</v>
      </c>
      <c r="E73" s="68" t="s">
        <v>7</v>
      </c>
      <c r="F73" s="68">
        <v>5</v>
      </c>
      <c r="G73" s="77" t="s">
        <v>14</v>
      </c>
      <c r="H73" s="88">
        <v>45791</v>
      </c>
    </row>
    <row r="74" spans="1:8">
      <c r="A74" s="72" t="s">
        <v>237</v>
      </c>
      <c r="B74" s="68">
        <v>8020980</v>
      </c>
      <c r="C74" s="68">
        <v>2022</v>
      </c>
      <c r="D74" s="68">
        <v>18</v>
      </c>
      <c r="E74" s="68" t="s">
        <v>7</v>
      </c>
      <c r="F74" s="68">
        <v>6</v>
      </c>
      <c r="G74" s="77" t="s">
        <v>14</v>
      </c>
      <c r="H74" s="88">
        <v>45825</v>
      </c>
    </row>
    <row r="75" spans="1:8">
      <c r="A75" s="72" t="s">
        <v>238</v>
      </c>
      <c r="B75" s="68">
        <v>8019014</v>
      </c>
      <c r="C75" s="68">
        <v>2019</v>
      </c>
      <c r="D75" s="68">
        <v>11</v>
      </c>
      <c r="E75" s="68" t="s">
        <v>7</v>
      </c>
      <c r="F75" s="68">
        <v>6</v>
      </c>
      <c r="G75" s="77" t="s">
        <v>14</v>
      </c>
      <c r="H75" s="88">
        <v>45680</v>
      </c>
    </row>
    <row r="76" spans="1:8">
      <c r="A76" s="72" t="s">
        <v>239</v>
      </c>
      <c r="B76" s="68">
        <v>8019101</v>
      </c>
      <c r="C76" s="68">
        <v>2019</v>
      </c>
      <c r="D76" s="68">
        <v>13</v>
      </c>
      <c r="E76" s="68" t="s">
        <v>7</v>
      </c>
      <c r="F76" s="68">
        <v>6</v>
      </c>
      <c r="G76" s="77" t="s">
        <v>14</v>
      </c>
      <c r="H76" s="88">
        <v>45944</v>
      </c>
    </row>
    <row r="77" spans="1:8">
      <c r="A77" s="72" t="s">
        <v>240</v>
      </c>
      <c r="B77" s="68">
        <v>8019250</v>
      </c>
      <c r="C77" s="68">
        <v>2020</v>
      </c>
      <c r="D77" s="68">
        <v>12</v>
      </c>
      <c r="E77" s="68" t="s">
        <v>7</v>
      </c>
      <c r="F77" s="68">
        <v>6</v>
      </c>
      <c r="G77" s="77" t="s">
        <v>14</v>
      </c>
      <c r="H77" s="88">
        <v>45885</v>
      </c>
    </row>
    <row r="78" spans="1:8">
      <c r="A78" s="72" t="s">
        <v>241</v>
      </c>
      <c r="B78" s="68">
        <v>8017253</v>
      </c>
      <c r="C78" s="68">
        <v>2015</v>
      </c>
      <c r="D78" s="68">
        <v>17</v>
      </c>
      <c r="E78" s="68" t="s">
        <v>7</v>
      </c>
      <c r="F78" s="68">
        <v>6</v>
      </c>
      <c r="G78" s="77" t="s">
        <v>14</v>
      </c>
      <c r="H78" s="91">
        <v>45616</v>
      </c>
    </row>
    <row r="79" spans="1:8">
      <c r="A79" s="72">
        <v>2109</v>
      </c>
      <c r="B79" s="68">
        <v>8021026</v>
      </c>
      <c r="C79" s="68"/>
      <c r="D79" s="68">
        <v>21</v>
      </c>
      <c r="E79" s="68" t="s">
        <v>7</v>
      </c>
      <c r="F79" s="68">
        <v>6</v>
      </c>
      <c r="G79" s="77" t="s">
        <v>14</v>
      </c>
      <c r="H79" s="88">
        <v>45769</v>
      </c>
    </row>
    <row r="80" spans="1:8">
      <c r="A80" s="72" t="s">
        <v>242</v>
      </c>
      <c r="B80" s="68">
        <v>8019128</v>
      </c>
      <c r="C80" s="68">
        <v>2019</v>
      </c>
      <c r="D80" s="68">
        <v>20</v>
      </c>
      <c r="E80" s="68" t="s">
        <v>7</v>
      </c>
      <c r="F80" s="68">
        <v>6</v>
      </c>
      <c r="G80" s="77" t="s">
        <v>14</v>
      </c>
      <c r="H80" s="88">
        <v>45909</v>
      </c>
    </row>
    <row r="81" spans="1:8">
      <c r="A81" s="72" t="s">
        <v>243</v>
      </c>
      <c r="B81" s="68">
        <v>8017988</v>
      </c>
      <c r="C81" s="68">
        <v>2017</v>
      </c>
      <c r="D81" s="68">
        <v>16</v>
      </c>
      <c r="E81" s="68" t="s">
        <v>7</v>
      </c>
      <c r="F81" s="68">
        <v>6</v>
      </c>
      <c r="G81" s="77" t="s">
        <v>14</v>
      </c>
      <c r="H81" s="88">
        <v>45925</v>
      </c>
    </row>
    <row r="82" spans="1:8">
      <c r="A82" s="72" t="s">
        <v>244</v>
      </c>
      <c r="B82" s="68">
        <v>8017964</v>
      </c>
      <c r="C82" s="68">
        <v>2017</v>
      </c>
      <c r="D82" s="68">
        <v>15</v>
      </c>
      <c r="E82" s="68" t="s">
        <v>7</v>
      </c>
      <c r="F82" s="68">
        <v>6</v>
      </c>
      <c r="G82" s="77" t="s">
        <v>14</v>
      </c>
      <c r="H82" s="88">
        <v>45740</v>
      </c>
    </row>
    <row r="83" spans="1:8">
      <c r="A83" s="72" t="s">
        <v>245</v>
      </c>
      <c r="B83" s="68">
        <v>8021023</v>
      </c>
      <c r="C83" s="68">
        <v>2022</v>
      </c>
      <c r="D83" s="68">
        <v>13</v>
      </c>
      <c r="E83" s="68" t="s">
        <v>7</v>
      </c>
      <c r="F83" s="68">
        <v>6</v>
      </c>
      <c r="G83" s="77" t="s">
        <v>14</v>
      </c>
      <c r="H83" s="88">
        <v>45690</v>
      </c>
    </row>
    <row r="84" spans="1:8">
      <c r="A84" s="72" t="s">
        <v>246</v>
      </c>
      <c r="B84" s="68">
        <v>8019112</v>
      </c>
      <c r="C84" s="68">
        <v>2019</v>
      </c>
      <c r="D84" s="68">
        <v>14</v>
      </c>
      <c r="E84" s="68" t="s">
        <v>7</v>
      </c>
      <c r="F84" s="68">
        <v>6</v>
      </c>
      <c r="G84" s="77" t="s">
        <v>14</v>
      </c>
      <c r="H84" s="88">
        <v>45946</v>
      </c>
    </row>
    <row r="85" spans="1:8">
      <c r="A85" s="72" t="s">
        <v>247</v>
      </c>
      <c r="B85" s="68">
        <v>8017241</v>
      </c>
      <c r="C85" s="68">
        <v>2015</v>
      </c>
      <c r="D85" s="68">
        <v>21</v>
      </c>
      <c r="E85" s="68" t="s">
        <v>7</v>
      </c>
      <c r="F85" s="68">
        <v>6</v>
      </c>
      <c r="G85" s="77" t="s">
        <v>14</v>
      </c>
      <c r="H85" s="88">
        <v>45799</v>
      </c>
    </row>
    <row r="86" spans="1:8">
      <c r="A86" s="72">
        <v>2203</v>
      </c>
      <c r="B86" s="68">
        <v>8020974</v>
      </c>
      <c r="C86" s="68"/>
      <c r="D86" s="68">
        <v>22</v>
      </c>
      <c r="E86" s="68" t="s">
        <v>7</v>
      </c>
      <c r="F86" s="68">
        <v>7</v>
      </c>
      <c r="G86" s="77" t="s">
        <v>14</v>
      </c>
      <c r="H86" s="92"/>
    </row>
    <row r="87" spans="1:8">
      <c r="A87" s="72" t="s">
        <v>248</v>
      </c>
      <c r="B87" s="68">
        <v>8020965</v>
      </c>
      <c r="C87" s="68">
        <v>2022</v>
      </c>
      <c r="D87" s="68">
        <v>18</v>
      </c>
      <c r="E87" s="68" t="s">
        <v>7</v>
      </c>
      <c r="F87" s="68">
        <v>7</v>
      </c>
      <c r="G87" s="77" t="s">
        <v>14</v>
      </c>
      <c r="H87" s="88">
        <v>45852</v>
      </c>
    </row>
    <row r="88" spans="1:8">
      <c r="A88" s="72" t="s">
        <v>249</v>
      </c>
      <c r="B88" s="68">
        <v>8019244</v>
      </c>
      <c r="C88" s="68">
        <v>2020</v>
      </c>
      <c r="D88" s="68">
        <v>14</v>
      </c>
      <c r="E88" s="68" t="s">
        <v>7</v>
      </c>
      <c r="F88" s="68">
        <v>7</v>
      </c>
      <c r="G88" s="77" t="s">
        <v>14</v>
      </c>
      <c r="H88" s="88">
        <v>45782</v>
      </c>
    </row>
    <row r="89" spans="1:8">
      <c r="A89" s="72" t="s">
        <v>250</v>
      </c>
      <c r="B89" s="68">
        <v>8019242</v>
      </c>
      <c r="C89" s="68">
        <v>2020</v>
      </c>
      <c r="D89" s="68">
        <v>14</v>
      </c>
      <c r="E89" s="68" t="s">
        <v>7</v>
      </c>
      <c r="F89" s="68">
        <v>7</v>
      </c>
      <c r="G89" s="77" t="s">
        <v>14</v>
      </c>
      <c r="H89" s="88">
        <v>45808</v>
      </c>
    </row>
    <row r="90" spans="1:8">
      <c r="A90" s="72" t="s">
        <v>251</v>
      </c>
      <c r="B90" s="68">
        <v>8019257</v>
      </c>
      <c r="C90" s="68">
        <v>2020</v>
      </c>
      <c r="D90" s="68">
        <v>15</v>
      </c>
      <c r="E90" s="68" t="s">
        <v>7</v>
      </c>
      <c r="F90" s="68">
        <v>7</v>
      </c>
      <c r="G90" s="77" t="s">
        <v>14</v>
      </c>
      <c r="H90" s="88">
        <v>45675</v>
      </c>
    </row>
    <row r="91" spans="1:8">
      <c r="A91" s="72" t="s">
        <v>252</v>
      </c>
      <c r="B91" s="68">
        <v>8019256</v>
      </c>
      <c r="C91" s="68">
        <v>2020</v>
      </c>
      <c r="D91" s="68">
        <v>15</v>
      </c>
      <c r="E91" s="68" t="s">
        <v>7</v>
      </c>
      <c r="F91" s="68">
        <v>7</v>
      </c>
      <c r="G91" s="77" t="s">
        <v>14</v>
      </c>
      <c r="H91" s="91">
        <v>45623</v>
      </c>
    </row>
    <row r="92" spans="1:8">
      <c r="A92" s="72" t="s">
        <v>253</v>
      </c>
      <c r="B92" s="68">
        <v>8017968</v>
      </c>
      <c r="C92" s="68">
        <v>2017</v>
      </c>
      <c r="D92" s="68">
        <v>18</v>
      </c>
      <c r="E92" s="68" t="s">
        <v>7</v>
      </c>
      <c r="F92" s="68">
        <v>7</v>
      </c>
      <c r="G92" s="77" t="s">
        <v>14</v>
      </c>
      <c r="H92" s="88">
        <v>45822</v>
      </c>
    </row>
    <row r="93" spans="1:8">
      <c r="A93" s="72" t="s">
        <v>254</v>
      </c>
      <c r="B93" s="68">
        <v>8018383</v>
      </c>
      <c r="C93" s="68">
        <v>2018</v>
      </c>
      <c r="D93" s="68">
        <v>19</v>
      </c>
      <c r="E93" s="68" t="s">
        <v>7</v>
      </c>
      <c r="F93" s="68">
        <v>7</v>
      </c>
      <c r="G93" s="77" t="s">
        <v>14</v>
      </c>
      <c r="H93" s="88">
        <v>45812</v>
      </c>
    </row>
    <row r="94" spans="1:8">
      <c r="A94" s="72" t="s">
        <v>255</v>
      </c>
      <c r="B94" s="68">
        <v>8018173</v>
      </c>
      <c r="C94" s="68">
        <v>2017</v>
      </c>
      <c r="D94" s="68">
        <v>11</v>
      </c>
      <c r="E94" s="68" t="s">
        <v>7</v>
      </c>
      <c r="F94" s="68">
        <v>7</v>
      </c>
      <c r="G94" s="77" t="s">
        <v>14</v>
      </c>
      <c r="H94" s="88">
        <v>45850</v>
      </c>
    </row>
    <row r="95" spans="1:8">
      <c r="A95" s="72" t="s">
        <v>256</v>
      </c>
      <c r="B95" s="68">
        <v>8021529</v>
      </c>
      <c r="C95" s="68">
        <v>2022</v>
      </c>
      <c r="D95" s="68">
        <v>12</v>
      </c>
      <c r="E95" s="68" t="s">
        <v>7</v>
      </c>
      <c r="F95" s="68">
        <v>7</v>
      </c>
      <c r="G95" s="77" t="s">
        <v>14</v>
      </c>
      <c r="H95" s="88">
        <v>45727</v>
      </c>
    </row>
    <row r="96" spans="1:8">
      <c r="A96" s="72" t="s">
        <v>257</v>
      </c>
      <c r="B96" s="68">
        <v>8019259</v>
      </c>
      <c r="C96" s="68">
        <v>2020</v>
      </c>
      <c r="D96" s="68">
        <v>15</v>
      </c>
      <c r="E96" s="68" t="s">
        <v>7</v>
      </c>
      <c r="F96" s="68">
        <v>7</v>
      </c>
      <c r="G96" s="77" t="s">
        <v>14</v>
      </c>
      <c r="H96" s="88">
        <v>45793</v>
      </c>
    </row>
    <row r="97" spans="1:8">
      <c r="A97" s="72" t="s">
        <v>258</v>
      </c>
      <c r="B97" s="68">
        <v>8019258</v>
      </c>
      <c r="C97" s="68">
        <v>2020</v>
      </c>
      <c r="D97" s="68">
        <v>15</v>
      </c>
      <c r="E97" s="68" t="s">
        <v>7</v>
      </c>
      <c r="F97" s="68">
        <v>7</v>
      </c>
      <c r="G97" s="77" t="s">
        <v>14</v>
      </c>
      <c r="H97" s="88">
        <v>45751</v>
      </c>
    </row>
    <row r="98" spans="1:8">
      <c r="A98" s="72" t="s">
        <v>259</v>
      </c>
      <c r="B98" s="68">
        <v>8020822</v>
      </c>
      <c r="C98" s="68">
        <v>2022</v>
      </c>
      <c r="D98" s="68">
        <v>17</v>
      </c>
      <c r="E98" s="68" t="s">
        <v>7</v>
      </c>
      <c r="F98" s="68">
        <v>8</v>
      </c>
      <c r="G98" s="77" t="s">
        <v>14</v>
      </c>
      <c r="H98" s="88">
        <v>45713</v>
      </c>
    </row>
    <row r="99" spans="1:8">
      <c r="A99" s="72" t="s">
        <v>260</v>
      </c>
      <c r="B99" s="68">
        <v>8017251</v>
      </c>
      <c r="C99" s="68">
        <v>2015</v>
      </c>
      <c r="D99" s="68">
        <v>17</v>
      </c>
      <c r="E99" s="68" t="s">
        <v>7</v>
      </c>
      <c r="F99" s="68">
        <v>8</v>
      </c>
      <c r="G99" s="77" t="s">
        <v>14</v>
      </c>
      <c r="H99" s="88">
        <v>45862</v>
      </c>
    </row>
    <row r="100" spans="1:8">
      <c r="A100" s="72" t="s">
        <v>261</v>
      </c>
      <c r="B100" s="68">
        <v>8021171</v>
      </c>
      <c r="C100" s="68">
        <v>2022</v>
      </c>
      <c r="D100" s="68">
        <v>16</v>
      </c>
      <c r="E100" s="68" t="s">
        <v>7</v>
      </c>
      <c r="F100" s="68">
        <v>8</v>
      </c>
      <c r="G100" s="77" t="s">
        <v>14</v>
      </c>
      <c r="H100" s="88">
        <v>45845</v>
      </c>
    </row>
    <row r="101" spans="1:8">
      <c r="A101" s="72" t="s">
        <v>262</v>
      </c>
      <c r="B101" s="68">
        <v>8021532</v>
      </c>
      <c r="C101" s="68">
        <v>2022</v>
      </c>
      <c r="D101" s="68">
        <v>13</v>
      </c>
      <c r="E101" s="68" t="s">
        <v>7</v>
      </c>
      <c r="F101" s="68">
        <v>8</v>
      </c>
      <c r="G101" s="77" t="s">
        <v>14</v>
      </c>
      <c r="H101" s="88">
        <v>45704</v>
      </c>
    </row>
    <row r="102" spans="1:8">
      <c r="A102" s="72" t="s">
        <v>263</v>
      </c>
      <c r="B102" s="68">
        <v>8018154</v>
      </c>
      <c r="C102" s="68">
        <v>2017</v>
      </c>
      <c r="D102" s="68">
        <v>18</v>
      </c>
      <c r="E102" s="68" t="s">
        <v>7</v>
      </c>
      <c r="F102" s="68">
        <v>8</v>
      </c>
      <c r="G102" s="77" t="s">
        <v>14</v>
      </c>
      <c r="H102" s="88">
        <v>45609</v>
      </c>
    </row>
    <row r="103" spans="1:8">
      <c r="A103" s="72" t="s">
        <v>264</v>
      </c>
      <c r="B103" s="68">
        <v>8021185</v>
      </c>
      <c r="C103" s="68">
        <v>2022</v>
      </c>
      <c r="D103" s="68">
        <v>12</v>
      </c>
      <c r="E103" s="68" t="s">
        <v>7</v>
      </c>
      <c r="F103" s="68">
        <v>8</v>
      </c>
      <c r="G103" s="77" t="s">
        <v>14</v>
      </c>
      <c r="H103" s="88">
        <v>45829</v>
      </c>
    </row>
    <row r="104" spans="1:8">
      <c r="A104" s="72" t="s">
        <v>265</v>
      </c>
      <c r="B104" s="68">
        <v>8019236</v>
      </c>
      <c r="C104" s="68">
        <v>2020</v>
      </c>
      <c r="D104" s="68">
        <v>13</v>
      </c>
      <c r="E104" s="68" t="s">
        <v>7</v>
      </c>
      <c r="F104" s="68">
        <v>8</v>
      </c>
      <c r="G104" s="77" t="s">
        <v>14</v>
      </c>
      <c r="H104" s="88">
        <v>45858</v>
      </c>
    </row>
    <row r="105" spans="1:8">
      <c r="A105" s="72" t="s">
        <v>266</v>
      </c>
      <c r="B105" s="68">
        <v>8019253</v>
      </c>
      <c r="C105" s="68">
        <v>2020</v>
      </c>
      <c r="D105" s="68">
        <v>16</v>
      </c>
      <c r="E105" s="68" t="s">
        <v>7</v>
      </c>
      <c r="F105" s="68">
        <v>8</v>
      </c>
      <c r="G105" s="77" t="s">
        <v>14</v>
      </c>
      <c r="H105" s="88">
        <v>45776</v>
      </c>
    </row>
    <row r="106" spans="1:8">
      <c r="A106" s="72" t="s">
        <v>267</v>
      </c>
      <c r="B106" s="68">
        <v>8019252</v>
      </c>
      <c r="C106" s="68">
        <v>2020</v>
      </c>
      <c r="D106" s="68">
        <v>16</v>
      </c>
      <c r="E106" s="68" t="s">
        <v>7</v>
      </c>
      <c r="F106" s="68">
        <v>8</v>
      </c>
      <c r="G106" s="77" t="s">
        <v>14</v>
      </c>
      <c r="H106" s="88">
        <v>45889</v>
      </c>
    </row>
    <row r="107" spans="1:8">
      <c r="A107" s="72" t="s">
        <v>268</v>
      </c>
      <c r="B107" s="68">
        <v>8020931</v>
      </c>
      <c r="C107" s="68">
        <v>2022</v>
      </c>
      <c r="D107" s="68">
        <v>13</v>
      </c>
      <c r="E107" s="68" t="s">
        <v>7</v>
      </c>
      <c r="F107" s="68">
        <v>8</v>
      </c>
      <c r="G107" s="77" t="s">
        <v>14</v>
      </c>
      <c r="H107" s="88">
        <v>45799</v>
      </c>
    </row>
    <row r="108" spans="1:8">
      <c r="A108" s="72" t="s">
        <v>269</v>
      </c>
      <c r="B108" s="68">
        <v>8020972</v>
      </c>
      <c r="C108" s="68">
        <v>2022</v>
      </c>
      <c r="D108" s="68">
        <v>20</v>
      </c>
      <c r="E108" s="68" t="s">
        <v>7</v>
      </c>
      <c r="F108" s="68">
        <v>8</v>
      </c>
      <c r="G108" s="77" t="s">
        <v>14</v>
      </c>
      <c r="H108" s="88">
        <v>45805</v>
      </c>
    </row>
    <row r="109" spans="1:8">
      <c r="A109" s="72" t="s">
        <v>270</v>
      </c>
      <c r="B109" s="68">
        <v>8020821</v>
      </c>
      <c r="C109" s="68">
        <v>2022</v>
      </c>
      <c r="D109" s="68">
        <v>16</v>
      </c>
      <c r="E109" s="68" t="s">
        <v>7</v>
      </c>
      <c r="F109" s="68">
        <v>8</v>
      </c>
      <c r="G109" s="77" t="s">
        <v>14</v>
      </c>
      <c r="H109" s="88">
        <v>45930</v>
      </c>
    </row>
    <row r="110" spans="1:8">
      <c r="A110" s="72" t="s">
        <v>271</v>
      </c>
      <c r="B110" s="68">
        <v>8018382</v>
      </c>
      <c r="C110" s="68">
        <v>2018</v>
      </c>
      <c r="D110" s="68">
        <v>19</v>
      </c>
      <c r="E110" s="68" t="s">
        <v>7</v>
      </c>
      <c r="F110" s="68">
        <v>9</v>
      </c>
      <c r="G110" s="77" t="s">
        <v>14</v>
      </c>
      <c r="H110" s="91">
        <v>45577</v>
      </c>
    </row>
    <row r="111" spans="1:8">
      <c r="A111" s="72" t="s">
        <v>272</v>
      </c>
      <c r="B111" s="68">
        <v>8019102</v>
      </c>
      <c r="C111" s="68">
        <v>2019</v>
      </c>
      <c r="D111" s="68">
        <v>13</v>
      </c>
      <c r="E111" s="68" t="s">
        <v>7</v>
      </c>
      <c r="F111" s="68">
        <v>9</v>
      </c>
      <c r="G111" s="77" t="s">
        <v>14</v>
      </c>
      <c r="H111" s="88">
        <v>45851</v>
      </c>
    </row>
    <row r="112" spans="1:8">
      <c r="A112" s="72" t="s">
        <v>273</v>
      </c>
      <c r="B112" s="68">
        <v>8021546</v>
      </c>
      <c r="C112" s="68">
        <v>2022</v>
      </c>
      <c r="D112" s="68">
        <v>20</v>
      </c>
      <c r="E112" s="68" t="s">
        <v>7</v>
      </c>
      <c r="F112" s="68">
        <v>9</v>
      </c>
      <c r="G112" s="77" t="s">
        <v>14</v>
      </c>
      <c r="H112" s="91">
        <v>45629</v>
      </c>
    </row>
    <row r="113" spans="1:8">
      <c r="A113" s="72" t="s">
        <v>274</v>
      </c>
      <c r="B113" s="68">
        <v>8017209</v>
      </c>
      <c r="C113" s="68">
        <v>2022</v>
      </c>
      <c r="D113" s="68">
        <v>20</v>
      </c>
      <c r="E113" s="68" t="s">
        <v>7</v>
      </c>
      <c r="F113" s="68">
        <v>9</v>
      </c>
      <c r="G113" s="77" t="s">
        <v>14</v>
      </c>
      <c r="H113" s="91">
        <v>45628</v>
      </c>
    </row>
    <row r="114" spans="1:8">
      <c r="A114" s="72" t="s">
        <v>275</v>
      </c>
      <c r="B114" s="68">
        <v>8021550</v>
      </c>
      <c r="C114" s="68">
        <v>2022</v>
      </c>
      <c r="D114" s="68">
        <v>20</v>
      </c>
      <c r="E114" s="68" t="s">
        <v>7</v>
      </c>
      <c r="F114" s="68">
        <v>9</v>
      </c>
      <c r="G114" s="77" t="s">
        <v>14</v>
      </c>
      <c r="H114" s="91">
        <v>45662</v>
      </c>
    </row>
    <row r="115" spans="1:8">
      <c r="A115" s="72" t="s">
        <v>276</v>
      </c>
      <c r="B115" s="68">
        <v>8019243</v>
      </c>
      <c r="C115" s="68">
        <v>2020</v>
      </c>
      <c r="D115" s="68">
        <v>14</v>
      </c>
      <c r="E115" s="68" t="s">
        <v>7</v>
      </c>
      <c r="F115" s="68">
        <v>9</v>
      </c>
      <c r="G115" s="77" t="s">
        <v>14</v>
      </c>
      <c r="H115" s="88">
        <v>45804</v>
      </c>
    </row>
    <row r="116" spans="1:8">
      <c r="A116" s="72" t="s">
        <v>277</v>
      </c>
      <c r="B116" s="68">
        <v>8020960</v>
      </c>
      <c r="C116" s="68">
        <v>2022</v>
      </c>
      <c r="D116" s="68">
        <v>19</v>
      </c>
      <c r="E116" s="68" t="s">
        <v>7</v>
      </c>
      <c r="F116" s="68">
        <v>9</v>
      </c>
      <c r="G116" s="77" t="s">
        <v>14</v>
      </c>
      <c r="H116" s="88">
        <v>45766</v>
      </c>
    </row>
    <row r="117" spans="1:8">
      <c r="A117" s="72" t="s">
        <v>278</v>
      </c>
      <c r="B117" s="68">
        <v>8017980</v>
      </c>
      <c r="C117" s="68">
        <v>2017</v>
      </c>
      <c r="D117" s="68">
        <v>19</v>
      </c>
      <c r="E117" s="68" t="s">
        <v>7</v>
      </c>
      <c r="F117" s="68">
        <v>9</v>
      </c>
      <c r="G117" s="77" t="s">
        <v>14</v>
      </c>
      <c r="H117" s="88">
        <v>45694</v>
      </c>
    </row>
    <row r="118" spans="1:8">
      <c r="A118" s="72" t="s">
        <v>279</v>
      </c>
      <c r="B118" s="68">
        <v>8021528</v>
      </c>
      <c r="C118" s="68">
        <v>2022</v>
      </c>
      <c r="D118" s="68">
        <v>12</v>
      </c>
      <c r="E118" s="68" t="s">
        <v>7</v>
      </c>
      <c r="F118" s="68">
        <v>9</v>
      </c>
      <c r="G118" s="77" t="s">
        <v>14</v>
      </c>
      <c r="H118" s="88">
        <v>45697</v>
      </c>
    </row>
    <row r="119" spans="1:8">
      <c r="A119" s="72" t="s">
        <v>280</v>
      </c>
      <c r="B119" s="68">
        <v>8021549</v>
      </c>
      <c r="C119" s="68">
        <v>2015</v>
      </c>
      <c r="D119" s="68">
        <v>18</v>
      </c>
      <c r="E119" s="68" t="s">
        <v>7</v>
      </c>
      <c r="F119" s="68">
        <v>9</v>
      </c>
      <c r="G119" s="77" t="s">
        <v>14</v>
      </c>
      <c r="H119" s="88">
        <v>45673</v>
      </c>
    </row>
    <row r="120" spans="1:8">
      <c r="A120" s="72" t="s">
        <v>281</v>
      </c>
      <c r="B120" s="68">
        <v>8020967</v>
      </c>
      <c r="C120" s="68">
        <v>2022</v>
      </c>
      <c r="D120" s="68">
        <v>13</v>
      </c>
      <c r="E120" s="68" t="s">
        <v>7</v>
      </c>
      <c r="F120" s="68">
        <v>9</v>
      </c>
      <c r="G120" s="77" t="s">
        <v>14</v>
      </c>
      <c r="H120" s="88">
        <v>45687</v>
      </c>
    </row>
    <row r="121" spans="1:8">
      <c r="A121" s="72" t="s">
        <v>282</v>
      </c>
      <c r="B121" s="68">
        <v>8017220</v>
      </c>
      <c r="C121" s="68">
        <v>2015</v>
      </c>
      <c r="D121" s="68">
        <v>16</v>
      </c>
      <c r="E121" s="68" t="s">
        <v>7</v>
      </c>
      <c r="F121" s="68">
        <v>9</v>
      </c>
      <c r="G121" s="77" t="s">
        <v>14</v>
      </c>
      <c r="H121" s="88">
        <v>45881</v>
      </c>
    </row>
    <row r="122" spans="1:8">
      <c r="A122" s="72" t="s">
        <v>283</v>
      </c>
      <c r="B122" s="68">
        <v>8020825</v>
      </c>
      <c r="C122" s="68">
        <v>2022</v>
      </c>
      <c r="D122" s="68">
        <v>17</v>
      </c>
      <c r="E122" s="68" t="s">
        <v>7</v>
      </c>
      <c r="F122" s="68">
        <v>10</v>
      </c>
      <c r="G122" s="77" t="s">
        <v>14</v>
      </c>
      <c r="H122" s="88">
        <v>45883</v>
      </c>
    </row>
    <row r="123" spans="1:8">
      <c r="A123" s="72" t="s">
        <v>284</v>
      </c>
      <c r="B123" s="68">
        <v>8021548</v>
      </c>
      <c r="C123" s="68">
        <v>2022</v>
      </c>
      <c r="D123" s="68">
        <v>20</v>
      </c>
      <c r="E123" s="68" t="s">
        <v>7</v>
      </c>
      <c r="F123" s="68">
        <v>10</v>
      </c>
      <c r="G123" s="77" t="s">
        <v>14</v>
      </c>
      <c r="H123" s="91">
        <v>45636</v>
      </c>
    </row>
    <row r="124" spans="1:8">
      <c r="A124" s="72" t="s">
        <v>285</v>
      </c>
      <c r="B124" s="68">
        <v>8020961</v>
      </c>
      <c r="C124" s="68">
        <v>2022</v>
      </c>
      <c r="D124" s="68">
        <v>17</v>
      </c>
      <c r="E124" s="68" t="s">
        <v>7</v>
      </c>
      <c r="F124" s="68">
        <v>10</v>
      </c>
      <c r="G124" s="77" t="s">
        <v>14</v>
      </c>
      <c r="H124" s="88">
        <v>45914</v>
      </c>
    </row>
    <row r="125" spans="1:8">
      <c r="A125" s="72" t="s">
        <v>286</v>
      </c>
      <c r="B125" s="68">
        <v>8020931</v>
      </c>
      <c r="C125" s="68">
        <v>2022</v>
      </c>
      <c r="D125" s="68">
        <v>18</v>
      </c>
      <c r="E125" s="68" t="s">
        <v>7</v>
      </c>
      <c r="F125" s="68">
        <v>10</v>
      </c>
      <c r="G125" s="77" t="s">
        <v>14</v>
      </c>
      <c r="H125" s="88">
        <v>45810</v>
      </c>
    </row>
    <row r="126" spans="1:8">
      <c r="A126" s="72" t="s">
        <v>287</v>
      </c>
      <c r="B126" s="68">
        <v>8020824</v>
      </c>
      <c r="C126" s="68">
        <v>2022</v>
      </c>
      <c r="D126" s="68">
        <v>17</v>
      </c>
      <c r="E126" s="68" t="s">
        <v>7</v>
      </c>
      <c r="F126" s="68">
        <v>10</v>
      </c>
      <c r="G126" s="77" t="s">
        <v>14</v>
      </c>
      <c r="H126" s="88">
        <v>45720</v>
      </c>
    </row>
    <row r="127" spans="1:8">
      <c r="A127" s="72" t="s">
        <v>288</v>
      </c>
      <c r="B127" s="68">
        <v>8017236</v>
      </c>
      <c r="C127" s="68">
        <v>2015</v>
      </c>
      <c r="D127" s="68">
        <v>16</v>
      </c>
      <c r="E127" s="68" t="s">
        <v>7</v>
      </c>
      <c r="F127" s="68">
        <v>10</v>
      </c>
      <c r="G127" s="77" t="s">
        <v>14</v>
      </c>
      <c r="H127" s="88">
        <v>45750</v>
      </c>
    </row>
    <row r="128" spans="1:8">
      <c r="A128" s="72" t="s">
        <v>289</v>
      </c>
      <c r="B128" s="68">
        <v>8020834</v>
      </c>
      <c r="C128" s="68">
        <v>2022</v>
      </c>
      <c r="D128" s="68">
        <v>16</v>
      </c>
      <c r="E128" s="68" t="s">
        <v>7</v>
      </c>
      <c r="F128" s="68">
        <v>10</v>
      </c>
      <c r="G128" s="77" t="s">
        <v>14</v>
      </c>
      <c r="H128" s="88">
        <v>45835</v>
      </c>
    </row>
    <row r="129" spans="1:8">
      <c r="A129" s="72" t="s">
        <v>290</v>
      </c>
      <c r="B129" s="68">
        <v>8020959</v>
      </c>
      <c r="C129" s="68">
        <v>2022</v>
      </c>
      <c r="D129" s="68">
        <v>19</v>
      </c>
      <c r="E129" s="68" t="s">
        <v>7</v>
      </c>
      <c r="F129" s="68">
        <v>10</v>
      </c>
      <c r="G129" s="77" t="s">
        <v>14</v>
      </c>
      <c r="H129" s="88">
        <v>45841</v>
      </c>
    </row>
    <row r="130" spans="1:8">
      <c r="A130" s="72" t="s">
        <v>291</v>
      </c>
      <c r="B130" s="68">
        <v>8020833</v>
      </c>
      <c r="C130" s="68">
        <v>2022</v>
      </c>
      <c r="D130" s="68">
        <v>16</v>
      </c>
      <c r="E130" s="68" t="s">
        <v>7</v>
      </c>
      <c r="F130" s="68">
        <v>10</v>
      </c>
      <c r="G130" s="77" t="s">
        <v>14</v>
      </c>
      <c r="H130" s="91">
        <v>46027</v>
      </c>
    </row>
    <row r="131" spans="1:8">
      <c r="A131" s="72" t="s">
        <v>292</v>
      </c>
      <c r="B131" s="68">
        <v>8020966</v>
      </c>
      <c r="C131" s="68">
        <v>2022</v>
      </c>
      <c r="D131" s="68">
        <v>18</v>
      </c>
      <c r="E131" s="68" t="s">
        <v>7</v>
      </c>
      <c r="F131" s="68">
        <v>10</v>
      </c>
      <c r="G131" s="77" t="s">
        <v>14</v>
      </c>
      <c r="H131" s="88">
        <v>45817</v>
      </c>
    </row>
    <row r="132" spans="1:8">
      <c r="A132" s="72" t="s">
        <v>293</v>
      </c>
      <c r="B132" s="68">
        <v>8020955</v>
      </c>
      <c r="C132" s="68">
        <v>2022</v>
      </c>
      <c r="D132" s="68">
        <v>18</v>
      </c>
      <c r="E132" s="68" t="s">
        <v>7</v>
      </c>
      <c r="F132" s="68">
        <v>10</v>
      </c>
      <c r="G132" s="77" t="s">
        <v>14</v>
      </c>
      <c r="H132" s="88">
        <v>45797</v>
      </c>
    </row>
    <row r="133" spans="1:8">
      <c r="A133" s="72" t="s">
        <v>294</v>
      </c>
      <c r="B133" s="68">
        <v>8020979</v>
      </c>
      <c r="C133" s="68">
        <v>2022</v>
      </c>
      <c r="D133" s="68">
        <v>18</v>
      </c>
      <c r="E133" s="68" t="s">
        <v>7</v>
      </c>
      <c r="F133" s="68">
        <v>10</v>
      </c>
      <c r="G133" s="77" t="s">
        <v>14</v>
      </c>
      <c r="H133" s="91">
        <v>45580</v>
      </c>
    </row>
    <row r="134" spans="1:8">
      <c r="A134" s="72" t="s">
        <v>295</v>
      </c>
      <c r="B134" s="68">
        <v>8020962</v>
      </c>
      <c r="C134" s="68">
        <v>2022</v>
      </c>
      <c r="D134" s="68">
        <v>17</v>
      </c>
      <c r="E134" s="68" t="s">
        <v>7</v>
      </c>
      <c r="F134" s="68">
        <v>11</v>
      </c>
      <c r="G134" s="77" t="s">
        <v>14</v>
      </c>
      <c r="H134" s="88">
        <v>45843</v>
      </c>
    </row>
    <row r="135" spans="1:8">
      <c r="A135" s="72" t="s">
        <v>296</v>
      </c>
      <c r="B135" s="68">
        <v>8020956</v>
      </c>
      <c r="C135" s="68">
        <v>2022</v>
      </c>
      <c r="D135" s="68">
        <v>17</v>
      </c>
      <c r="E135" s="68" t="s">
        <v>7</v>
      </c>
      <c r="F135" s="68">
        <v>11</v>
      </c>
      <c r="G135" s="77" t="s">
        <v>14</v>
      </c>
      <c r="H135" s="88">
        <v>45860</v>
      </c>
    </row>
    <row r="136" spans="1:8">
      <c r="A136" s="72" t="s">
        <v>297</v>
      </c>
      <c r="B136" s="68">
        <v>8020957</v>
      </c>
      <c r="C136" s="68">
        <v>2022</v>
      </c>
      <c r="D136" s="68">
        <v>17</v>
      </c>
      <c r="E136" s="68" t="s">
        <v>7</v>
      </c>
      <c r="F136" s="68">
        <v>11</v>
      </c>
      <c r="G136" s="77" t="s">
        <v>14</v>
      </c>
      <c r="H136" s="88">
        <v>45856</v>
      </c>
    </row>
    <row r="137" spans="1:8">
      <c r="A137" s="72" t="s">
        <v>298</v>
      </c>
      <c r="B137" s="68">
        <v>8020964</v>
      </c>
      <c r="C137" s="68">
        <v>2022</v>
      </c>
      <c r="D137" s="68">
        <v>18</v>
      </c>
      <c r="E137" s="68" t="s">
        <v>7</v>
      </c>
      <c r="F137" s="68">
        <v>11</v>
      </c>
      <c r="G137" s="77" t="s">
        <v>14</v>
      </c>
      <c r="H137" s="88">
        <v>45894</v>
      </c>
    </row>
    <row r="138" spans="1:8">
      <c r="A138" s="72" t="s">
        <v>299</v>
      </c>
      <c r="B138" s="68">
        <v>8018389</v>
      </c>
      <c r="C138" s="68">
        <v>2018</v>
      </c>
      <c r="D138" s="68">
        <v>16</v>
      </c>
      <c r="E138" s="68" t="s">
        <v>7</v>
      </c>
      <c r="F138" s="68">
        <v>11</v>
      </c>
      <c r="G138" s="77" t="s">
        <v>14</v>
      </c>
      <c r="H138" s="88">
        <v>45780</v>
      </c>
    </row>
    <row r="139" spans="1:8">
      <c r="A139" s="72" t="s">
        <v>300</v>
      </c>
      <c r="B139" s="68">
        <v>8021022</v>
      </c>
      <c r="C139" s="68">
        <v>2022</v>
      </c>
      <c r="D139" s="68">
        <v>21</v>
      </c>
      <c r="E139" s="68" t="s">
        <v>9</v>
      </c>
      <c r="F139" s="68">
        <v>11</v>
      </c>
      <c r="G139" s="77" t="s">
        <v>14</v>
      </c>
      <c r="H139" s="88">
        <v>45719</v>
      </c>
    </row>
    <row r="140" spans="1:8">
      <c r="A140" s="72" t="s">
        <v>301</v>
      </c>
      <c r="B140" s="68">
        <v>8018157</v>
      </c>
      <c r="C140" s="68">
        <v>2017</v>
      </c>
      <c r="D140" s="68">
        <v>19</v>
      </c>
      <c r="E140" s="68" t="s">
        <v>7</v>
      </c>
      <c r="F140" s="68">
        <v>11</v>
      </c>
      <c r="G140" s="77" t="s">
        <v>14</v>
      </c>
      <c r="H140" s="88">
        <v>45706</v>
      </c>
    </row>
    <row r="141" spans="1:8">
      <c r="A141" s="72" t="s">
        <v>302</v>
      </c>
      <c r="B141" s="68">
        <v>8017235</v>
      </c>
      <c r="C141" s="68">
        <v>2015</v>
      </c>
      <c r="D141" s="68">
        <v>16</v>
      </c>
      <c r="E141" s="68" t="s">
        <v>7</v>
      </c>
      <c r="F141" s="68">
        <v>11</v>
      </c>
      <c r="G141" s="77" t="s">
        <v>14</v>
      </c>
      <c r="H141" s="88">
        <v>45864</v>
      </c>
    </row>
    <row r="142" spans="1:8">
      <c r="A142" s="72" t="s">
        <v>303</v>
      </c>
      <c r="B142" s="68">
        <v>8017434</v>
      </c>
      <c r="C142" s="68">
        <v>2015</v>
      </c>
      <c r="D142" s="68">
        <v>21</v>
      </c>
      <c r="E142" s="68" t="s">
        <v>7</v>
      </c>
      <c r="F142" s="68">
        <v>11</v>
      </c>
      <c r="G142" s="77" t="s">
        <v>14</v>
      </c>
      <c r="H142" s="88">
        <v>45670</v>
      </c>
    </row>
    <row r="143" spans="1:8">
      <c r="A143" s="72" t="s">
        <v>304</v>
      </c>
      <c r="B143" s="68">
        <v>8017967</v>
      </c>
      <c r="C143" s="68">
        <v>2017</v>
      </c>
      <c r="D143" s="68">
        <v>17</v>
      </c>
      <c r="E143" s="68" t="s">
        <v>7</v>
      </c>
      <c r="F143" s="68">
        <v>11</v>
      </c>
      <c r="G143" s="77" t="s">
        <v>14</v>
      </c>
      <c r="H143" s="88">
        <v>45827</v>
      </c>
    </row>
    <row r="144" spans="1:8">
      <c r="A144" s="72" t="s">
        <v>305</v>
      </c>
      <c r="B144" s="68">
        <v>8018708</v>
      </c>
      <c r="C144" s="68">
        <v>2018</v>
      </c>
      <c r="D144" s="68">
        <v>15</v>
      </c>
      <c r="E144" s="68" t="s">
        <v>7</v>
      </c>
      <c r="F144" s="68">
        <v>11</v>
      </c>
      <c r="G144" s="77" t="s">
        <v>14</v>
      </c>
      <c r="H144" s="88">
        <v>45773</v>
      </c>
    </row>
    <row r="145" spans="1:8">
      <c r="A145" s="72" t="s">
        <v>306</v>
      </c>
      <c r="B145" s="68">
        <v>8023096</v>
      </c>
      <c r="C145" s="68">
        <v>2025</v>
      </c>
      <c r="D145" s="68">
        <v>20</v>
      </c>
      <c r="E145" s="68" t="s">
        <v>9</v>
      </c>
      <c r="F145" s="68">
        <v>11</v>
      </c>
      <c r="G145" s="77" t="s">
        <v>14</v>
      </c>
      <c r="H145" s="92"/>
    </row>
    <row r="146" spans="1:8">
      <c r="A146" s="72" t="s">
        <v>307</v>
      </c>
      <c r="B146" s="68">
        <v>8015912</v>
      </c>
      <c r="C146" s="68">
        <v>2013</v>
      </c>
      <c r="D146" s="68">
        <v>14</v>
      </c>
      <c r="E146" s="68" t="s">
        <v>4</v>
      </c>
      <c r="F146" s="68">
        <v>12</v>
      </c>
      <c r="G146" s="77" t="s">
        <v>14</v>
      </c>
      <c r="H146" s="88">
        <v>45931</v>
      </c>
    </row>
    <row r="147" spans="1:8">
      <c r="A147" s="72" t="s">
        <v>308</v>
      </c>
      <c r="B147" s="68">
        <v>8015605</v>
      </c>
      <c r="C147" s="68">
        <v>2013</v>
      </c>
      <c r="D147" s="68">
        <v>17</v>
      </c>
      <c r="E147" s="68" t="s">
        <v>4</v>
      </c>
      <c r="F147" s="68">
        <v>12</v>
      </c>
      <c r="G147" s="77" t="s">
        <v>14</v>
      </c>
      <c r="H147" s="88">
        <v>45661</v>
      </c>
    </row>
    <row r="148" spans="1:8">
      <c r="A148" s="72" t="s">
        <v>309</v>
      </c>
      <c r="B148" s="68">
        <v>8013376</v>
      </c>
      <c r="C148" s="68">
        <v>2010</v>
      </c>
      <c r="D148" s="68">
        <v>12</v>
      </c>
      <c r="E148" s="68" t="s">
        <v>4</v>
      </c>
      <c r="F148" s="68">
        <v>12</v>
      </c>
      <c r="G148" s="77" t="s">
        <v>14</v>
      </c>
      <c r="H148" s="91">
        <v>45620</v>
      </c>
    </row>
    <row r="149" spans="1:8">
      <c r="A149" s="72" t="s">
        <v>310</v>
      </c>
      <c r="B149" s="68">
        <v>8009105</v>
      </c>
      <c r="C149" s="68">
        <v>2005</v>
      </c>
      <c r="D149" s="68">
        <v>17</v>
      </c>
      <c r="E149" s="68" t="s">
        <v>8</v>
      </c>
      <c r="F149" s="68">
        <v>12</v>
      </c>
      <c r="G149" s="77" t="s">
        <v>14</v>
      </c>
      <c r="H149" s="88">
        <v>45927</v>
      </c>
    </row>
    <row r="150" spans="1:8">
      <c r="A150" s="72" t="s">
        <v>311</v>
      </c>
      <c r="B150" s="68" t="s">
        <v>99</v>
      </c>
      <c r="C150" s="68">
        <v>2013</v>
      </c>
      <c r="D150" s="68">
        <v>19</v>
      </c>
      <c r="E150" s="68" t="s">
        <v>4</v>
      </c>
      <c r="F150" s="68">
        <v>12</v>
      </c>
      <c r="G150" s="77" t="s">
        <v>14</v>
      </c>
      <c r="H150" s="88">
        <v>45722</v>
      </c>
    </row>
    <row r="151" spans="1:8">
      <c r="A151" s="72" t="s">
        <v>312</v>
      </c>
      <c r="B151" s="68">
        <v>8016046</v>
      </c>
      <c r="C151" s="68">
        <v>2013</v>
      </c>
      <c r="D151" s="68">
        <v>20</v>
      </c>
      <c r="E151" s="68" t="s">
        <v>4</v>
      </c>
      <c r="F151" s="68">
        <v>12</v>
      </c>
      <c r="G151" s="77" t="s">
        <v>14</v>
      </c>
      <c r="H151" s="88">
        <v>45731</v>
      </c>
    </row>
    <row r="152" spans="1:8">
      <c r="A152" s="72" t="s">
        <v>313</v>
      </c>
      <c r="B152" s="68">
        <v>8017110</v>
      </c>
      <c r="C152" s="68">
        <v>2015</v>
      </c>
      <c r="D152" s="68">
        <v>18</v>
      </c>
      <c r="E152" s="68" t="s">
        <v>4</v>
      </c>
      <c r="F152" s="68">
        <v>12</v>
      </c>
      <c r="G152" s="77" t="s">
        <v>14</v>
      </c>
      <c r="H152" s="92"/>
    </row>
    <row r="153" spans="1:8">
      <c r="A153" s="72" t="s">
        <v>314</v>
      </c>
      <c r="B153" s="68">
        <v>8013487</v>
      </c>
      <c r="C153" s="68">
        <v>2010</v>
      </c>
      <c r="D153" s="68">
        <v>15</v>
      </c>
      <c r="E153" s="68" t="s">
        <v>4</v>
      </c>
      <c r="F153" s="68">
        <v>12</v>
      </c>
      <c r="G153" s="77" t="s">
        <v>14</v>
      </c>
      <c r="H153" s="88">
        <v>45920</v>
      </c>
    </row>
    <row r="154" spans="1:8">
      <c r="A154" s="72" t="s">
        <v>315</v>
      </c>
      <c r="B154" s="68">
        <v>8015602</v>
      </c>
      <c r="C154" s="68">
        <v>2013</v>
      </c>
      <c r="D154" s="68">
        <v>16</v>
      </c>
      <c r="E154" s="68" t="s">
        <v>4</v>
      </c>
      <c r="F154" s="68">
        <v>12</v>
      </c>
      <c r="G154" s="77" t="s">
        <v>14</v>
      </c>
      <c r="H154" s="88">
        <v>45743</v>
      </c>
    </row>
    <row r="155" spans="1:8">
      <c r="A155" s="72" t="s">
        <v>316</v>
      </c>
      <c r="B155" s="68">
        <v>8017120</v>
      </c>
      <c r="C155" s="68">
        <v>2015</v>
      </c>
      <c r="D155" s="68">
        <v>19</v>
      </c>
      <c r="E155" s="68" t="s">
        <v>4</v>
      </c>
      <c r="F155" s="68">
        <v>12</v>
      </c>
      <c r="G155" s="77" t="s">
        <v>14</v>
      </c>
      <c r="H155" s="91">
        <v>45547</v>
      </c>
    </row>
    <row r="156" spans="1:8">
      <c r="A156" s="72" t="s">
        <v>317</v>
      </c>
      <c r="B156" s="68">
        <v>8014332</v>
      </c>
      <c r="C156" s="68">
        <v>2011</v>
      </c>
      <c r="D156" s="68">
        <v>12</v>
      </c>
      <c r="E156" s="68" t="s">
        <v>4</v>
      </c>
      <c r="F156" s="68">
        <v>12</v>
      </c>
      <c r="G156" s="77" t="s">
        <v>14</v>
      </c>
      <c r="H156" s="88">
        <v>45708</v>
      </c>
    </row>
    <row r="157" spans="1:8">
      <c r="A157" s="72">
        <v>16113</v>
      </c>
      <c r="B157" s="68">
        <v>8015275</v>
      </c>
      <c r="C157" s="68">
        <v>2012</v>
      </c>
      <c r="D157" s="68">
        <v>16</v>
      </c>
      <c r="E157" s="68" t="s">
        <v>4</v>
      </c>
      <c r="F157" s="68">
        <v>12</v>
      </c>
      <c r="G157" s="77" t="s">
        <v>14</v>
      </c>
      <c r="H157" s="91">
        <v>45616</v>
      </c>
    </row>
    <row r="158" spans="1:8">
      <c r="A158" s="72" t="s">
        <v>318</v>
      </c>
      <c r="B158" s="68">
        <v>8015607</v>
      </c>
      <c r="C158" s="68">
        <v>2013</v>
      </c>
      <c r="D158" s="68">
        <v>14</v>
      </c>
      <c r="E158" s="68" t="s">
        <v>4</v>
      </c>
      <c r="F158" s="68">
        <v>13</v>
      </c>
      <c r="G158" s="77" t="s">
        <v>14</v>
      </c>
      <c r="H158" s="88">
        <v>45709</v>
      </c>
    </row>
    <row r="159" spans="1:8">
      <c r="A159" s="72" t="s">
        <v>319</v>
      </c>
      <c r="B159" s="68">
        <v>8016147</v>
      </c>
      <c r="C159" s="68">
        <v>2013</v>
      </c>
      <c r="D159" s="68">
        <v>18</v>
      </c>
      <c r="E159" s="68" t="s">
        <v>4</v>
      </c>
      <c r="F159" s="68">
        <v>13</v>
      </c>
      <c r="G159" s="77" t="s">
        <v>14</v>
      </c>
      <c r="H159" s="91">
        <v>45597</v>
      </c>
    </row>
    <row r="160" spans="1:8">
      <c r="A160" s="72" t="s">
        <v>320</v>
      </c>
      <c r="B160" s="68">
        <v>8017121</v>
      </c>
      <c r="C160" s="68">
        <v>2015</v>
      </c>
      <c r="D160" s="68">
        <v>18</v>
      </c>
      <c r="E160" s="68" t="s">
        <v>4</v>
      </c>
      <c r="F160" s="68">
        <v>13</v>
      </c>
      <c r="G160" s="77" t="s">
        <v>14</v>
      </c>
      <c r="H160" s="88">
        <v>45823</v>
      </c>
    </row>
    <row r="161" spans="1:8">
      <c r="A161" s="72" t="s">
        <v>321</v>
      </c>
      <c r="B161" s="68">
        <v>8010004</v>
      </c>
      <c r="C161" s="68">
        <v>2005</v>
      </c>
      <c r="D161" s="68">
        <v>15</v>
      </c>
      <c r="E161" s="68" t="s">
        <v>8</v>
      </c>
      <c r="F161" s="68">
        <v>13</v>
      </c>
      <c r="G161" s="77" t="s">
        <v>14</v>
      </c>
      <c r="H161" s="88">
        <v>45701</v>
      </c>
    </row>
    <row r="162" spans="1:8">
      <c r="A162" s="72" t="s">
        <v>322</v>
      </c>
      <c r="B162" s="68">
        <v>8015965</v>
      </c>
      <c r="C162" s="68">
        <v>2013</v>
      </c>
      <c r="D162" s="68">
        <v>12</v>
      </c>
      <c r="E162" s="68" t="s">
        <v>4</v>
      </c>
      <c r="F162" s="68">
        <v>13</v>
      </c>
      <c r="G162" s="77" t="s">
        <v>14</v>
      </c>
      <c r="H162" s="88">
        <v>45757</v>
      </c>
    </row>
    <row r="163" spans="1:8">
      <c r="A163" s="72" t="s">
        <v>323</v>
      </c>
      <c r="B163" s="68">
        <v>8017111</v>
      </c>
      <c r="C163" s="68">
        <v>2015</v>
      </c>
      <c r="D163" s="68">
        <v>19</v>
      </c>
      <c r="E163" s="68" t="s">
        <v>4</v>
      </c>
      <c r="F163" s="68">
        <v>13</v>
      </c>
      <c r="G163" s="77" t="s">
        <v>14</v>
      </c>
      <c r="H163" s="88">
        <v>45764</v>
      </c>
    </row>
    <row r="164" spans="1:8">
      <c r="A164" s="72" t="s">
        <v>324</v>
      </c>
      <c r="B164" s="68">
        <v>8015915</v>
      </c>
      <c r="C164" s="68">
        <v>2013</v>
      </c>
      <c r="D164" s="68">
        <v>14</v>
      </c>
      <c r="E164" s="68" t="s">
        <v>4</v>
      </c>
      <c r="F164" s="68">
        <v>13</v>
      </c>
      <c r="G164" s="77" t="s">
        <v>14</v>
      </c>
      <c r="H164" s="88">
        <v>45939</v>
      </c>
    </row>
    <row r="165" spans="1:8">
      <c r="A165" s="72" t="s">
        <v>325</v>
      </c>
      <c r="B165" s="68">
        <v>8005943</v>
      </c>
      <c r="C165" s="68">
        <v>2003</v>
      </c>
      <c r="D165" s="68">
        <v>15</v>
      </c>
      <c r="E165" s="68" t="s">
        <v>8</v>
      </c>
      <c r="F165" s="68">
        <v>13</v>
      </c>
      <c r="G165" s="77" t="s">
        <v>14</v>
      </c>
      <c r="H165" s="88">
        <v>45700</v>
      </c>
    </row>
    <row r="166" spans="1:8">
      <c r="A166" s="72" t="s">
        <v>326</v>
      </c>
      <c r="B166" s="68">
        <v>8015279</v>
      </c>
      <c r="C166" s="68">
        <v>2012</v>
      </c>
      <c r="D166" s="68">
        <v>13</v>
      </c>
      <c r="E166" s="68" t="s">
        <v>4</v>
      </c>
      <c r="F166" s="68">
        <v>13</v>
      </c>
      <c r="G166" s="77" t="s">
        <v>14</v>
      </c>
      <c r="H166" s="88">
        <v>45726</v>
      </c>
    </row>
    <row r="167" spans="1:8">
      <c r="A167" s="72" t="s">
        <v>327</v>
      </c>
      <c r="B167" s="68">
        <v>8010098</v>
      </c>
      <c r="C167" s="68">
        <v>2006</v>
      </c>
      <c r="D167" s="68">
        <v>18</v>
      </c>
      <c r="E167" s="68" t="s">
        <v>8</v>
      </c>
      <c r="F167" s="68">
        <v>13</v>
      </c>
      <c r="G167" s="77" t="s">
        <v>14</v>
      </c>
      <c r="H167" s="88">
        <v>45671</v>
      </c>
    </row>
    <row r="168" spans="1:8">
      <c r="A168" s="72" t="s">
        <v>328</v>
      </c>
      <c r="B168" s="68">
        <v>8014545</v>
      </c>
      <c r="C168" s="68">
        <v>2011</v>
      </c>
      <c r="D168" s="68">
        <v>13</v>
      </c>
      <c r="E168" s="68" t="s">
        <v>4</v>
      </c>
      <c r="F168" s="68">
        <v>13</v>
      </c>
      <c r="G168" s="77" t="s">
        <v>14</v>
      </c>
      <c r="H168" s="88">
        <v>45686</v>
      </c>
    </row>
    <row r="169" spans="1:8">
      <c r="A169" s="72" t="s">
        <v>329</v>
      </c>
      <c r="B169" s="68">
        <v>8016673</v>
      </c>
      <c r="C169" s="68">
        <v>2014</v>
      </c>
      <c r="D169" s="68">
        <v>16</v>
      </c>
      <c r="E169" s="68" t="s">
        <v>4</v>
      </c>
      <c r="F169" s="68">
        <v>13</v>
      </c>
      <c r="G169" s="77" t="s">
        <v>14</v>
      </c>
      <c r="H169" s="88">
        <v>45935</v>
      </c>
    </row>
    <row r="170" spans="1:8">
      <c r="A170" s="72" t="s">
        <v>330</v>
      </c>
      <c r="B170" s="68">
        <v>8016666</v>
      </c>
      <c r="C170" s="68">
        <v>2014</v>
      </c>
      <c r="D170" s="68">
        <v>16</v>
      </c>
      <c r="E170" s="68" t="s">
        <v>4</v>
      </c>
      <c r="F170" s="68">
        <v>14</v>
      </c>
      <c r="G170" s="77" t="s">
        <v>14</v>
      </c>
      <c r="H170" s="91">
        <v>46027</v>
      </c>
    </row>
    <row r="171" spans="1:8">
      <c r="A171" s="72" t="s">
        <v>331</v>
      </c>
      <c r="B171" s="68">
        <v>8016424</v>
      </c>
      <c r="C171" s="68">
        <v>2014</v>
      </c>
      <c r="D171" s="68">
        <v>16</v>
      </c>
      <c r="E171" s="68" t="s">
        <v>4</v>
      </c>
      <c r="F171" s="68">
        <v>14</v>
      </c>
      <c r="G171" s="77" t="s">
        <v>14</v>
      </c>
      <c r="H171" s="88">
        <v>45706</v>
      </c>
    </row>
    <row r="172" spans="1:8">
      <c r="A172" s="72" t="s">
        <v>332</v>
      </c>
      <c r="B172" s="68">
        <v>8015488</v>
      </c>
      <c r="C172" s="68">
        <v>2012</v>
      </c>
      <c r="D172" s="68">
        <v>17</v>
      </c>
      <c r="E172" s="68" t="s">
        <v>4</v>
      </c>
      <c r="F172" s="68">
        <v>14</v>
      </c>
      <c r="G172" s="77" t="s">
        <v>14</v>
      </c>
      <c r="H172" s="88">
        <v>45815</v>
      </c>
    </row>
    <row r="173" spans="1:8">
      <c r="A173" s="72" t="s">
        <v>333</v>
      </c>
      <c r="B173" s="68">
        <v>8016058</v>
      </c>
      <c r="C173" s="68">
        <v>2013</v>
      </c>
      <c r="D173" s="68">
        <v>13</v>
      </c>
      <c r="E173" s="68" t="s">
        <v>4</v>
      </c>
      <c r="F173" s="68">
        <v>14</v>
      </c>
      <c r="G173" s="77" t="s">
        <v>14</v>
      </c>
      <c r="H173" s="88">
        <v>45738</v>
      </c>
    </row>
    <row r="174" spans="1:8">
      <c r="A174" s="72" t="s">
        <v>334</v>
      </c>
      <c r="B174" s="68">
        <v>8015966</v>
      </c>
      <c r="C174" s="68">
        <v>2013</v>
      </c>
      <c r="D174" s="68">
        <v>17</v>
      </c>
      <c r="E174" s="68" t="s">
        <v>4</v>
      </c>
      <c r="F174" s="68">
        <v>14</v>
      </c>
      <c r="G174" s="77" t="s">
        <v>14</v>
      </c>
      <c r="H174" s="88">
        <v>45847</v>
      </c>
    </row>
    <row r="175" spans="1:8">
      <c r="A175" s="72" t="s">
        <v>335</v>
      </c>
      <c r="B175" s="68">
        <v>8018402</v>
      </c>
      <c r="C175" s="68">
        <v>2018</v>
      </c>
      <c r="D175" s="68">
        <v>12</v>
      </c>
      <c r="E175" s="68" t="s">
        <v>7</v>
      </c>
      <c r="F175" s="68">
        <v>14</v>
      </c>
      <c r="G175" s="77" t="s">
        <v>14</v>
      </c>
      <c r="H175" s="91">
        <v>45468</v>
      </c>
    </row>
    <row r="176" spans="1:8">
      <c r="A176" s="72" t="s">
        <v>336</v>
      </c>
      <c r="B176" s="68">
        <v>8010005</v>
      </c>
      <c r="C176" s="68">
        <v>2005</v>
      </c>
      <c r="D176" s="68">
        <v>15</v>
      </c>
      <c r="E176" s="68" t="s">
        <v>8</v>
      </c>
      <c r="F176" s="68">
        <v>14</v>
      </c>
      <c r="G176" s="77" t="s">
        <v>14</v>
      </c>
      <c r="H176" s="88">
        <v>45937</v>
      </c>
    </row>
    <row r="177" spans="1:8">
      <c r="A177" s="72" t="s">
        <v>337</v>
      </c>
      <c r="B177" s="68">
        <v>8016060</v>
      </c>
      <c r="C177" s="68">
        <v>2013</v>
      </c>
      <c r="D177" s="68">
        <v>16</v>
      </c>
      <c r="E177" s="68" t="s">
        <v>4</v>
      </c>
      <c r="F177" s="68">
        <v>14</v>
      </c>
      <c r="G177" s="77" t="s">
        <v>14</v>
      </c>
      <c r="H177" s="88">
        <v>45947</v>
      </c>
    </row>
    <row r="178" spans="1:8">
      <c r="A178" s="72" t="s">
        <v>338</v>
      </c>
      <c r="B178" s="68">
        <v>8015734</v>
      </c>
      <c r="C178" s="68">
        <v>2013</v>
      </c>
      <c r="D178" s="68">
        <v>18</v>
      </c>
      <c r="E178" s="68" t="s">
        <v>4</v>
      </c>
      <c r="F178" s="68">
        <v>14</v>
      </c>
      <c r="G178" s="77" t="s">
        <v>14</v>
      </c>
      <c r="H178" s="91">
        <v>46027</v>
      </c>
    </row>
    <row r="179" spans="1:8">
      <c r="A179" s="72" t="s">
        <v>339</v>
      </c>
      <c r="B179" s="68">
        <v>8007507</v>
      </c>
      <c r="C179" s="68">
        <v>2005</v>
      </c>
      <c r="D179" s="68">
        <v>15</v>
      </c>
      <c r="E179" s="68" t="s">
        <v>8</v>
      </c>
      <c r="F179" s="68">
        <v>14</v>
      </c>
      <c r="G179" s="77" t="s">
        <v>14</v>
      </c>
      <c r="H179" s="88">
        <v>45933</v>
      </c>
    </row>
    <row r="180" spans="1:8">
      <c r="A180" s="72" t="s">
        <v>340</v>
      </c>
      <c r="B180" s="68">
        <v>8020937</v>
      </c>
      <c r="C180" s="68">
        <v>2022</v>
      </c>
      <c r="D180" s="68">
        <v>21</v>
      </c>
      <c r="E180" s="68" t="s">
        <v>7</v>
      </c>
      <c r="F180" s="68">
        <v>14</v>
      </c>
      <c r="G180" s="77" t="s">
        <v>14</v>
      </c>
      <c r="H180" s="88">
        <v>45838</v>
      </c>
    </row>
    <row r="181" spans="1:8">
      <c r="A181" s="72" t="s">
        <v>341</v>
      </c>
      <c r="B181" s="68">
        <v>8018810</v>
      </c>
      <c r="C181" s="68">
        <v>2019</v>
      </c>
      <c r="D181" s="68">
        <v>12</v>
      </c>
      <c r="E181" s="68" t="s">
        <v>7</v>
      </c>
      <c r="F181" s="68">
        <v>14</v>
      </c>
      <c r="G181" s="77" t="s">
        <v>14</v>
      </c>
      <c r="H181" s="91">
        <v>45530</v>
      </c>
    </row>
    <row r="182" spans="1:8">
      <c r="A182" s="72" t="s">
        <v>342</v>
      </c>
      <c r="B182" s="68">
        <v>8021605</v>
      </c>
      <c r="C182" s="68">
        <v>2022</v>
      </c>
      <c r="D182" s="68">
        <v>20</v>
      </c>
      <c r="E182" s="68" t="s">
        <v>9</v>
      </c>
      <c r="F182" s="68">
        <v>15</v>
      </c>
      <c r="G182" s="77" t="s">
        <v>14</v>
      </c>
      <c r="H182" s="91">
        <v>45622</v>
      </c>
    </row>
    <row r="183" spans="1:8">
      <c r="A183" s="72" t="s">
        <v>343</v>
      </c>
      <c r="B183" s="68">
        <v>8018797</v>
      </c>
      <c r="C183" s="68">
        <v>2019</v>
      </c>
      <c r="D183" s="68">
        <v>18</v>
      </c>
      <c r="E183" s="68" t="s">
        <v>10</v>
      </c>
      <c r="F183" s="68">
        <v>15</v>
      </c>
      <c r="G183" s="77" t="s">
        <v>14</v>
      </c>
      <c r="H183" s="88">
        <v>45794</v>
      </c>
    </row>
    <row r="184" spans="1:8">
      <c r="A184" s="72" t="s">
        <v>344</v>
      </c>
      <c r="B184" s="68">
        <v>8023098</v>
      </c>
      <c r="C184" s="68">
        <v>2025</v>
      </c>
      <c r="D184" s="68">
        <v>22</v>
      </c>
      <c r="E184" s="68" t="s">
        <v>9</v>
      </c>
      <c r="F184" s="68">
        <v>15</v>
      </c>
      <c r="G184" s="77" t="s">
        <v>14</v>
      </c>
      <c r="H184" s="93"/>
    </row>
    <row r="185" spans="1:8">
      <c r="A185" s="72" t="s">
        <v>345</v>
      </c>
      <c r="B185" s="68">
        <v>8018726</v>
      </c>
      <c r="C185" s="68">
        <v>2018</v>
      </c>
      <c r="D185" s="68">
        <v>16</v>
      </c>
      <c r="E185" s="68" t="s">
        <v>10</v>
      </c>
      <c r="F185" s="68">
        <v>15</v>
      </c>
      <c r="G185" s="77" t="s">
        <v>14</v>
      </c>
      <c r="H185" s="88">
        <v>45720</v>
      </c>
    </row>
    <row r="186" spans="1:8">
      <c r="A186" s="72" t="s">
        <v>346</v>
      </c>
      <c r="B186" s="68">
        <v>8021604</v>
      </c>
      <c r="C186" s="68">
        <v>2022</v>
      </c>
      <c r="D186" s="68">
        <v>19</v>
      </c>
      <c r="E186" s="68" t="s">
        <v>9</v>
      </c>
      <c r="F186" s="68">
        <v>15</v>
      </c>
      <c r="G186" s="77" t="s">
        <v>14</v>
      </c>
      <c r="H186" s="88">
        <v>45830</v>
      </c>
    </row>
    <row r="187" spans="1:8">
      <c r="A187" s="72" t="s">
        <v>347</v>
      </c>
      <c r="B187" s="68">
        <v>8019089</v>
      </c>
      <c r="C187" s="68">
        <v>2019</v>
      </c>
      <c r="D187" s="68">
        <v>19</v>
      </c>
      <c r="E187" s="68" t="s">
        <v>10</v>
      </c>
      <c r="F187" s="68">
        <v>15</v>
      </c>
      <c r="G187" s="77" t="s">
        <v>14</v>
      </c>
      <c r="H187" s="92"/>
    </row>
    <row r="188" spans="1:8">
      <c r="A188" s="72" t="s">
        <v>348</v>
      </c>
      <c r="B188" s="68">
        <v>8021564</v>
      </c>
      <c r="C188" s="68">
        <v>2022</v>
      </c>
      <c r="D188" s="68">
        <v>14</v>
      </c>
      <c r="E188" s="68" t="s">
        <v>9</v>
      </c>
      <c r="F188" s="68">
        <v>15</v>
      </c>
      <c r="G188" s="77" t="s">
        <v>14</v>
      </c>
      <c r="H188" s="88">
        <v>45689</v>
      </c>
    </row>
    <row r="189" spans="1:8">
      <c r="A189" s="72" t="s">
        <v>349</v>
      </c>
      <c r="B189" s="68">
        <v>8017706</v>
      </c>
      <c r="C189" s="68">
        <v>2016</v>
      </c>
      <c r="D189" s="68">
        <v>14</v>
      </c>
      <c r="E189" s="68" t="s">
        <v>10</v>
      </c>
      <c r="F189" s="68">
        <v>15</v>
      </c>
      <c r="G189" s="77" t="s">
        <v>14</v>
      </c>
      <c r="H189" s="88">
        <v>45800</v>
      </c>
    </row>
    <row r="190" spans="1:8">
      <c r="A190" s="72" t="s">
        <v>350</v>
      </c>
      <c r="B190" s="68">
        <v>8018198</v>
      </c>
      <c r="C190" s="68">
        <v>2017</v>
      </c>
      <c r="D190" s="68">
        <v>16</v>
      </c>
      <c r="E190" s="68" t="s">
        <v>10</v>
      </c>
      <c r="F190" s="68">
        <v>15</v>
      </c>
      <c r="G190" s="77" t="s">
        <v>14</v>
      </c>
      <c r="H190" s="88">
        <v>45837</v>
      </c>
    </row>
    <row r="191" spans="1:8">
      <c r="A191" s="72" t="s">
        <v>351</v>
      </c>
      <c r="B191" s="68">
        <v>8017180</v>
      </c>
      <c r="C191" s="68">
        <v>2015</v>
      </c>
      <c r="D191" s="68">
        <v>14</v>
      </c>
      <c r="E191" s="68" t="s">
        <v>10</v>
      </c>
      <c r="F191" s="68">
        <v>15</v>
      </c>
      <c r="G191" s="77" t="s">
        <v>14</v>
      </c>
      <c r="H191" s="88">
        <v>45728</v>
      </c>
    </row>
    <row r="192" spans="1:8">
      <c r="A192" s="72" t="s">
        <v>352</v>
      </c>
      <c r="B192" s="68">
        <v>8021568</v>
      </c>
      <c r="C192" s="68">
        <v>2022</v>
      </c>
      <c r="D192" s="68">
        <v>15</v>
      </c>
      <c r="E192" s="68" t="s">
        <v>9</v>
      </c>
      <c r="F192" s="68">
        <v>15</v>
      </c>
      <c r="G192" s="77" t="s">
        <v>14</v>
      </c>
      <c r="H192" s="88">
        <v>45693</v>
      </c>
    </row>
    <row r="193" spans="1:8">
      <c r="A193" s="72" t="s">
        <v>353</v>
      </c>
      <c r="B193" s="68">
        <v>8021566</v>
      </c>
      <c r="C193" s="68">
        <v>2022</v>
      </c>
      <c r="D193" s="68">
        <v>15</v>
      </c>
      <c r="E193" s="68" t="s">
        <v>9</v>
      </c>
      <c r="F193" s="68">
        <v>15</v>
      </c>
      <c r="G193" s="77" t="s">
        <v>14</v>
      </c>
      <c r="H193" s="88">
        <v>45693</v>
      </c>
    </row>
    <row r="194" spans="1:8">
      <c r="A194" s="72" t="s">
        <v>354</v>
      </c>
      <c r="B194" s="68">
        <v>8018199</v>
      </c>
      <c r="C194" s="68">
        <v>2017</v>
      </c>
      <c r="D194" s="68">
        <v>16</v>
      </c>
      <c r="E194" s="68" t="s">
        <v>10</v>
      </c>
      <c r="F194" s="68">
        <v>16</v>
      </c>
      <c r="G194" s="77" t="s">
        <v>14</v>
      </c>
      <c r="H194" s="91">
        <v>45624</v>
      </c>
    </row>
    <row r="195" spans="1:8">
      <c r="A195" s="72" t="s">
        <v>355</v>
      </c>
      <c r="B195" s="68">
        <v>8017659</v>
      </c>
      <c r="C195" s="68">
        <v>2016</v>
      </c>
      <c r="D195" s="68">
        <v>15</v>
      </c>
      <c r="E195" s="68" t="s">
        <v>10</v>
      </c>
      <c r="F195" s="68">
        <v>16</v>
      </c>
      <c r="G195" s="77" t="s">
        <v>14</v>
      </c>
      <c r="H195" s="88">
        <v>45878</v>
      </c>
    </row>
    <row r="196" spans="1:8">
      <c r="A196" s="72" t="s">
        <v>356</v>
      </c>
      <c r="B196" s="68">
        <v>8017827</v>
      </c>
      <c r="C196" s="68">
        <v>2016</v>
      </c>
      <c r="D196" s="68">
        <v>17</v>
      </c>
      <c r="E196" s="68" t="s">
        <v>10</v>
      </c>
      <c r="F196" s="68">
        <v>16</v>
      </c>
      <c r="G196" s="77" t="s">
        <v>14</v>
      </c>
      <c r="H196" s="91">
        <v>46028</v>
      </c>
    </row>
    <row r="197" spans="1:8">
      <c r="A197" s="72" t="s">
        <v>357</v>
      </c>
      <c r="B197" s="68">
        <v>8017826</v>
      </c>
      <c r="C197" s="68">
        <v>2016</v>
      </c>
      <c r="D197" s="68">
        <v>17</v>
      </c>
      <c r="E197" s="68" t="s">
        <v>10</v>
      </c>
      <c r="F197" s="68">
        <v>16</v>
      </c>
      <c r="G197" s="77" t="s">
        <v>14</v>
      </c>
      <c r="H197" s="91">
        <v>45601</v>
      </c>
    </row>
    <row r="198" spans="1:8">
      <c r="A198" s="72" t="s">
        <v>358</v>
      </c>
      <c r="B198" s="68">
        <v>8017100</v>
      </c>
      <c r="C198" s="68">
        <v>2015</v>
      </c>
      <c r="D198" s="68">
        <v>18</v>
      </c>
      <c r="E198" s="68" t="s">
        <v>10</v>
      </c>
      <c r="F198" s="68">
        <v>16</v>
      </c>
      <c r="G198" s="77" t="s">
        <v>14</v>
      </c>
      <c r="H198" s="91">
        <v>45594</v>
      </c>
    </row>
    <row r="199" spans="1:8">
      <c r="A199" s="72" t="s">
        <v>359</v>
      </c>
      <c r="B199" s="68">
        <v>8017837</v>
      </c>
      <c r="C199" s="68">
        <v>2016</v>
      </c>
      <c r="D199" s="68">
        <v>16</v>
      </c>
      <c r="E199" s="68" t="s">
        <v>10</v>
      </c>
      <c r="F199" s="68">
        <v>16</v>
      </c>
      <c r="G199" s="77" t="s">
        <v>14</v>
      </c>
      <c r="H199" s="88">
        <v>45882</v>
      </c>
    </row>
    <row r="200" spans="1:8">
      <c r="A200" s="72" t="s">
        <v>360</v>
      </c>
      <c r="B200" s="68">
        <v>8018232</v>
      </c>
      <c r="C200" s="68">
        <v>2017</v>
      </c>
      <c r="D200" s="68">
        <v>18</v>
      </c>
      <c r="E200" s="68" t="s">
        <v>10</v>
      </c>
      <c r="F200" s="68">
        <v>16</v>
      </c>
      <c r="G200" s="77" t="s">
        <v>14</v>
      </c>
      <c r="H200" s="88">
        <v>45936</v>
      </c>
    </row>
    <row r="201" spans="1:8">
      <c r="A201" s="72" t="s">
        <v>361</v>
      </c>
      <c r="B201" s="68">
        <v>8017877</v>
      </c>
      <c r="C201" s="68">
        <v>2016</v>
      </c>
      <c r="D201" s="68">
        <v>19</v>
      </c>
      <c r="E201" s="68" t="s">
        <v>10</v>
      </c>
      <c r="F201" s="68">
        <v>16</v>
      </c>
      <c r="G201" s="77" t="s">
        <v>14</v>
      </c>
      <c r="H201" s="91">
        <v>45662</v>
      </c>
    </row>
    <row r="202" spans="1:8">
      <c r="A202" s="72" t="s">
        <v>362</v>
      </c>
      <c r="B202" s="68">
        <v>8018821</v>
      </c>
      <c r="C202" s="68">
        <v>2019</v>
      </c>
      <c r="D202" s="68">
        <v>17</v>
      </c>
      <c r="E202" s="68" t="s">
        <v>10</v>
      </c>
      <c r="F202" s="68">
        <v>16</v>
      </c>
      <c r="G202" s="77" t="s">
        <v>14</v>
      </c>
      <c r="H202" s="91">
        <v>46027</v>
      </c>
    </row>
    <row r="203" spans="1:8">
      <c r="A203" s="72" t="s">
        <v>363</v>
      </c>
      <c r="B203" s="68">
        <v>8018799</v>
      </c>
      <c r="C203" s="68">
        <v>2019</v>
      </c>
      <c r="D203" s="68">
        <v>16</v>
      </c>
      <c r="E203" s="68" t="s">
        <v>10</v>
      </c>
      <c r="F203" s="68">
        <v>16</v>
      </c>
      <c r="G203" s="77" t="s">
        <v>14</v>
      </c>
      <c r="H203" s="91">
        <v>46025</v>
      </c>
    </row>
    <row r="204" spans="1:8">
      <c r="A204" s="72" t="s">
        <v>364</v>
      </c>
      <c r="B204" s="68">
        <v>8018673</v>
      </c>
      <c r="C204" s="68">
        <v>2018</v>
      </c>
      <c r="D204" s="68">
        <v>16</v>
      </c>
      <c r="E204" s="68" t="s">
        <v>10</v>
      </c>
      <c r="F204" s="68">
        <v>16</v>
      </c>
      <c r="G204" s="77" t="s">
        <v>14</v>
      </c>
      <c r="H204" s="88">
        <v>45802</v>
      </c>
    </row>
    <row r="205" spans="1:8">
      <c r="A205" s="72" t="s">
        <v>365</v>
      </c>
      <c r="B205" s="68">
        <v>8018742</v>
      </c>
      <c r="C205" s="68">
        <v>2018</v>
      </c>
      <c r="D205" s="68">
        <v>20</v>
      </c>
      <c r="E205" s="68" t="s">
        <v>10</v>
      </c>
      <c r="F205" s="68">
        <v>16</v>
      </c>
      <c r="G205" s="77" t="s">
        <v>14</v>
      </c>
      <c r="H205" s="91">
        <v>45606</v>
      </c>
    </row>
    <row r="206" spans="1:8">
      <c r="A206" s="72" t="s">
        <v>366</v>
      </c>
      <c r="B206" s="68">
        <v>8018732</v>
      </c>
      <c r="C206" s="68">
        <v>2018</v>
      </c>
      <c r="D206" s="68">
        <v>17</v>
      </c>
      <c r="E206" s="68" t="s">
        <v>10</v>
      </c>
      <c r="F206" s="68">
        <v>17</v>
      </c>
      <c r="G206" s="77" t="s">
        <v>14</v>
      </c>
      <c r="H206" s="91">
        <v>45605</v>
      </c>
    </row>
    <row r="207" spans="1:8">
      <c r="A207" s="72" t="s">
        <v>367</v>
      </c>
      <c r="B207" s="68">
        <v>8023095</v>
      </c>
      <c r="C207" s="68">
        <v>2025</v>
      </c>
      <c r="D207" s="68">
        <v>19</v>
      </c>
      <c r="E207" s="68" t="s">
        <v>9</v>
      </c>
      <c r="F207" s="68">
        <v>17</v>
      </c>
      <c r="G207" s="77" t="s">
        <v>14</v>
      </c>
      <c r="H207" s="92"/>
    </row>
    <row r="208" spans="1:8">
      <c r="A208" s="72" t="s">
        <v>368</v>
      </c>
      <c r="B208" s="68">
        <v>8018737</v>
      </c>
      <c r="C208" s="68">
        <v>2018</v>
      </c>
      <c r="D208" s="68">
        <v>14</v>
      </c>
      <c r="E208" s="68" t="s">
        <v>10</v>
      </c>
      <c r="F208" s="68">
        <v>17</v>
      </c>
      <c r="G208" s="77" t="s">
        <v>14</v>
      </c>
      <c r="H208" s="88">
        <v>45916</v>
      </c>
    </row>
    <row r="209" spans="1:8">
      <c r="A209" s="72" t="s">
        <v>369</v>
      </c>
      <c r="B209" s="68">
        <v>8018240</v>
      </c>
      <c r="C209" s="68">
        <v>2017</v>
      </c>
      <c r="D209" s="68">
        <v>19</v>
      </c>
      <c r="E209" s="68" t="s">
        <v>10</v>
      </c>
      <c r="F209" s="68">
        <v>17</v>
      </c>
      <c r="G209" s="77" t="s">
        <v>14</v>
      </c>
      <c r="H209" s="88">
        <v>45790</v>
      </c>
    </row>
    <row r="210" spans="1:8">
      <c r="A210" s="72" t="s">
        <v>370</v>
      </c>
      <c r="B210" s="68">
        <v>8018736</v>
      </c>
      <c r="C210" s="68">
        <v>2018</v>
      </c>
      <c r="D210" s="68">
        <v>14</v>
      </c>
      <c r="E210" s="68" t="s">
        <v>10</v>
      </c>
      <c r="F210" s="68">
        <v>17</v>
      </c>
      <c r="G210" s="77" t="s">
        <v>14</v>
      </c>
      <c r="H210" s="91">
        <v>45614</v>
      </c>
    </row>
    <row r="211" spans="1:8">
      <c r="A211" s="72" t="s">
        <v>371</v>
      </c>
      <c r="B211" s="68">
        <v>8018236</v>
      </c>
      <c r="C211" s="68">
        <v>2017</v>
      </c>
      <c r="D211" s="68">
        <v>19</v>
      </c>
      <c r="E211" s="68" t="s">
        <v>10</v>
      </c>
      <c r="F211" s="68">
        <v>17</v>
      </c>
      <c r="G211" s="77" t="s">
        <v>14</v>
      </c>
      <c r="H211" s="88">
        <v>45791</v>
      </c>
    </row>
    <row r="212" spans="1:8">
      <c r="A212" s="72" t="s">
        <v>372</v>
      </c>
      <c r="B212" s="68">
        <v>80188798</v>
      </c>
      <c r="C212" s="68">
        <v>2019</v>
      </c>
      <c r="D212" s="68">
        <v>18</v>
      </c>
      <c r="E212" s="68" t="s">
        <v>10</v>
      </c>
      <c r="F212" s="68">
        <v>17</v>
      </c>
      <c r="G212" s="77" t="s">
        <v>14</v>
      </c>
      <c r="H212" s="88">
        <v>45834</v>
      </c>
    </row>
    <row r="213" spans="1:8">
      <c r="A213" s="72" t="s">
        <v>373</v>
      </c>
      <c r="B213" s="68">
        <v>8019070</v>
      </c>
      <c r="C213" s="68">
        <v>2019</v>
      </c>
      <c r="D213" s="68">
        <v>20</v>
      </c>
      <c r="E213" s="68" t="s">
        <v>10</v>
      </c>
      <c r="F213" s="68">
        <v>17</v>
      </c>
      <c r="G213" s="77" t="s">
        <v>14</v>
      </c>
      <c r="H213" s="88">
        <v>45874</v>
      </c>
    </row>
    <row r="214" spans="1:8">
      <c r="A214" s="72" t="s">
        <v>374</v>
      </c>
      <c r="B214" s="68">
        <v>8018674</v>
      </c>
      <c r="C214" s="68">
        <v>2018</v>
      </c>
      <c r="D214" s="68">
        <v>15</v>
      </c>
      <c r="E214" s="68" t="s">
        <v>10</v>
      </c>
      <c r="F214" s="68">
        <v>17</v>
      </c>
      <c r="G214" s="77" t="s">
        <v>14</v>
      </c>
      <c r="H214" s="88">
        <v>45902</v>
      </c>
    </row>
    <row r="215" spans="1:8">
      <c r="A215" s="72" t="s">
        <v>375</v>
      </c>
      <c r="B215" s="68">
        <v>8018249</v>
      </c>
      <c r="C215" s="68">
        <v>2017</v>
      </c>
      <c r="D215" s="68">
        <v>15</v>
      </c>
      <c r="E215" s="68" t="s">
        <v>10</v>
      </c>
      <c r="F215" s="68">
        <v>17</v>
      </c>
      <c r="G215" s="77" t="s">
        <v>14</v>
      </c>
      <c r="H215" s="91">
        <v>45621</v>
      </c>
    </row>
    <row r="216" spans="1:8">
      <c r="A216" s="72" t="s">
        <v>376</v>
      </c>
      <c r="B216" s="68">
        <v>8018739</v>
      </c>
      <c r="C216" s="68">
        <v>2018</v>
      </c>
      <c r="D216" s="68">
        <v>15</v>
      </c>
      <c r="E216" s="68" t="s">
        <v>10</v>
      </c>
      <c r="F216" s="68">
        <v>17</v>
      </c>
      <c r="G216" s="77" t="s">
        <v>14</v>
      </c>
      <c r="H216" s="88">
        <v>45913</v>
      </c>
    </row>
    <row r="217" spans="1:8">
      <c r="A217" s="72" t="s">
        <v>377</v>
      </c>
      <c r="B217" s="68">
        <v>8018731</v>
      </c>
      <c r="C217" s="68">
        <v>2018</v>
      </c>
      <c r="D217" s="68">
        <v>17</v>
      </c>
      <c r="E217" s="68" t="s">
        <v>10</v>
      </c>
      <c r="F217" s="68">
        <v>17</v>
      </c>
      <c r="G217" s="77" t="s">
        <v>14</v>
      </c>
      <c r="H217" s="91">
        <v>45617</v>
      </c>
    </row>
    <row r="218" spans="1:8">
      <c r="A218" s="72" t="s">
        <v>378</v>
      </c>
      <c r="B218" s="68">
        <v>8018241</v>
      </c>
      <c r="C218" s="68">
        <v>2017</v>
      </c>
      <c r="D218" s="68">
        <v>14</v>
      </c>
      <c r="E218" s="68" t="s">
        <v>10</v>
      </c>
      <c r="F218" s="68">
        <v>19</v>
      </c>
      <c r="G218" s="77" t="s">
        <v>14</v>
      </c>
      <c r="H218" s="88">
        <v>45890</v>
      </c>
    </row>
    <row r="219" spans="1:8">
      <c r="A219" s="72" t="s">
        <v>379</v>
      </c>
      <c r="B219" s="68">
        <v>8018238</v>
      </c>
      <c r="C219" s="68">
        <v>2017</v>
      </c>
      <c r="D219" s="68">
        <v>18</v>
      </c>
      <c r="E219" s="68" t="s">
        <v>10</v>
      </c>
      <c r="F219" s="68">
        <v>19</v>
      </c>
      <c r="G219" s="77" t="s">
        <v>14</v>
      </c>
      <c r="H219" s="91">
        <v>46027</v>
      </c>
    </row>
    <row r="220" spans="1:8">
      <c r="A220" s="72" t="s">
        <v>380</v>
      </c>
      <c r="B220" s="68">
        <v>8020970</v>
      </c>
      <c r="C220" s="68">
        <v>2022</v>
      </c>
      <c r="D220" s="68">
        <v>19</v>
      </c>
      <c r="E220" s="68" t="s">
        <v>7</v>
      </c>
      <c r="F220" s="68">
        <v>19</v>
      </c>
      <c r="G220" s="77" t="s">
        <v>14</v>
      </c>
      <c r="H220" s="88">
        <v>45888</v>
      </c>
    </row>
    <row r="221" spans="1:8">
      <c r="A221" s="72" t="s">
        <v>381</v>
      </c>
      <c r="B221" s="68">
        <v>8019240</v>
      </c>
      <c r="C221" s="68">
        <v>2020</v>
      </c>
      <c r="D221" s="68">
        <v>14</v>
      </c>
      <c r="E221" s="68" t="s">
        <v>7</v>
      </c>
      <c r="F221" s="68">
        <v>19</v>
      </c>
      <c r="G221" s="77" t="s">
        <v>14</v>
      </c>
      <c r="H221" s="88">
        <v>45846</v>
      </c>
    </row>
    <row r="222" spans="1:8">
      <c r="A222" s="72" t="s">
        <v>382</v>
      </c>
      <c r="B222" s="68">
        <v>8017263</v>
      </c>
      <c r="C222" s="68">
        <v>2015</v>
      </c>
      <c r="D222" s="68">
        <v>17</v>
      </c>
      <c r="E222" s="68" t="s">
        <v>7</v>
      </c>
      <c r="F222" s="68">
        <v>19</v>
      </c>
      <c r="G222" s="77" t="s">
        <v>14</v>
      </c>
      <c r="H222" s="91">
        <v>45607</v>
      </c>
    </row>
    <row r="223" spans="1:8">
      <c r="A223" s="72" t="s">
        <v>383</v>
      </c>
      <c r="B223" s="68">
        <v>8018727</v>
      </c>
      <c r="C223" s="68">
        <v>2018</v>
      </c>
      <c r="D223" s="68">
        <v>16</v>
      </c>
      <c r="E223" s="68" t="s">
        <v>10</v>
      </c>
      <c r="F223" s="68">
        <v>19</v>
      </c>
      <c r="G223" s="77" t="s">
        <v>14</v>
      </c>
      <c r="H223" s="88">
        <v>45901</v>
      </c>
    </row>
    <row r="224" spans="1:8">
      <c r="A224" s="72" t="s">
        <v>384</v>
      </c>
      <c r="B224" s="68">
        <v>8018820</v>
      </c>
      <c r="C224" s="68">
        <v>2019</v>
      </c>
      <c r="D224" s="68">
        <v>17</v>
      </c>
      <c r="E224" s="68" t="s">
        <v>10</v>
      </c>
      <c r="F224" s="68">
        <v>19</v>
      </c>
      <c r="G224" s="77" t="s">
        <v>14</v>
      </c>
      <c r="H224" s="88">
        <v>45734</v>
      </c>
    </row>
    <row r="225" spans="1:8">
      <c r="A225" s="72" t="s">
        <v>385</v>
      </c>
      <c r="B225" s="68">
        <v>8021565</v>
      </c>
      <c r="C225" s="68">
        <v>2022</v>
      </c>
      <c r="D225" s="68">
        <v>14</v>
      </c>
      <c r="E225" s="68" t="s">
        <v>9</v>
      </c>
      <c r="F225" s="68">
        <v>19</v>
      </c>
      <c r="G225" s="77" t="s">
        <v>14</v>
      </c>
      <c r="H225" s="91">
        <v>46024</v>
      </c>
    </row>
    <row r="226" spans="1:8">
      <c r="A226" s="72" t="s">
        <v>386</v>
      </c>
      <c r="B226" s="68">
        <v>8018646</v>
      </c>
      <c r="C226" s="68">
        <v>2018</v>
      </c>
      <c r="D226" s="68">
        <v>15</v>
      </c>
      <c r="E226" s="68" t="s">
        <v>10</v>
      </c>
      <c r="F226" s="68">
        <v>19</v>
      </c>
      <c r="G226" s="77" t="s">
        <v>14</v>
      </c>
      <c r="H226" s="91">
        <v>45608</v>
      </c>
    </row>
    <row r="227" spans="1:8">
      <c r="A227" s="72" t="s">
        <v>387</v>
      </c>
      <c r="B227" s="68">
        <v>8007813</v>
      </c>
      <c r="C227" s="68">
        <v>2006</v>
      </c>
      <c r="D227" s="68">
        <v>20</v>
      </c>
      <c r="E227" s="68" t="s">
        <v>8</v>
      </c>
      <c r="F227" s="68">
        <v>19</v>
      </c>
      <c r="G227" s="77" t="s">
        <v>14</v>
      </c>
      <c r="H227" s="91">
        <v>45656</v>
      </c>
    </row>
    <row r="228" spans="1:8">
      <c r="A228" s="74"/>
      <c r="B228" s="70">
        <v>8021598</v>
      </c>
      <c r="C228" s="70"/>
      <c r="D228" s="70">
        <v>16</v>
      </c>
      <c r="E228" s="70" t="s">
        <v>9</v>
      </c>
      <c r="F228" s="68">
        <v>19</v>
      </c>
      <c r="G228" s="77" t="s">
        <v>14</v>
      </c>
      <c r="H228" s="89"/>
    </row>
    <row r="229" spans="1:8">
      <c r="A229" s="72">
        <v>2111</v>
      </c>
      <c r="B229" s="68">
        <v>8018069</v>
      </c>
      <c r="C229" s="68">
        <v>2017</v>
      </c>
      <c r="D229" s="68">
        <v>21</v>
      </c>
      <c r="E229" s="68" t="s">
        <v>7</v>
      </c>
      <c r="F229" s="68">
        <v>19</v>
      </c>
      <c r="G229" s="77" t="s">
        <v>14</v>
      </c>
      <c r="H229" s="91">
        <v>45649</v>
      </c>
    </row>
    <row r="230" spans="1:8">
      <c r="A230" s="72" t="s">
        <v>388</v>
      </c>
      <c r="B230" s="68">
        <v>8020835</v>
      </c>
      <c r="C230" s="68">
        <v>2022</v>
      </c>
      <c r="D230" s="68">
        <v>15</v>
      </c>
      <c r="E230" s="68" t="s">
        <v>7</v>
      </c>
      <c r="F230" s="68">
        <v>20</v>
      </c>
      <c r="G230" s="77" t="s">
        <v>14</v>
      </c>
      <c r="H230" s="88">
        <v>45875</v>
      </c>
    </row>
    <row r="231" spans="1:8">
      <c r="A231" s="72" t="s">
        <v>389</v>
      </c>
      <c r="B231" s="68">
        <v>8022683</v>
      </c>
      <c r="C231" s="68">
        <v>2024</v>
      </c>
      <c r="D231" s="68">
        <v>22</v>
      </c>
      <c r="E231" s="68" t="s">
        <v>7</v>
      </c>
      <c r="F231" s="68">
        <v>20</v>
      </c>
      <c r="G231" s="77" t="s">
        <v>14</v>
      </c>
      <c r="H231" s="91">
        <v>45627</v>
      </c>
    </row>
    <row r="232" spans="1:8">
      <c r="A232" s="72" t="s">
        <v>390</v>
      </c>
      <c r="B232" s="68">
        <v>8017223</v>
      </c>
      <c r="C232" s="68">
        <v>2015</v>
      </c>
      <c r="D232" s="68">
        <v>14</v>
      </c>
      <c r="E232" s="68" t="s">
        <v>7</v>
      </c>
      <c r="F232" s="68">
        <v>20</v>
      </c>
      <c r="G232" s="77" t="s">
        <v>14</v>
      </c>
      <c r="H232" s="88">
        <v>45929</v>
      </c>
    </row>
    <row r="233" spans="1:8">
      <c r="A233" s="72" t="s">
        <v>391</v>
      </c>
      <c r="B233" s="68">
        <v>8019245</v>
      </c>
      <c r="C233" s="68">
        <v>2020</v>
      </c>
      <c r="D233" s="68">
        <v>14</v>
      </c>
      <c r="E233" s="68" t="s">
        <v>7</v>
      </c>
      <c r="F233" s="68">
        <v>20</v>
      </c>
      <c r="G233" s="77" t="s">
        <v>14</v>
      </c>
      <c r="H233" s="88">
        <v>45833</v>
      </c>
    </row>
    <row r="234" spans="1:8">
      <c r="A234" s="72" t="s">
        <v>392</v>
      </c>
      <c r="B234" s="68">
        <v>8021530</v>
      </c>
      <c r="C234" s="68">
        <v>2022</v>
      </c>
      <c r="D234" s="68">
        <v>12</v>
      </c>
      <c r="E234" s="68" t="s">
        <v>7</v>
      </c>
      <c r="F234" s="68">
        <v>20</v>
      </c>
      <c r="G234" s="77" t="s">
        <v>14</v>
      </c>
      <c r="H234" s="88">
        <v>45748</v>
      </c>
    </row>
    <row r="235" spans="1:8">
      <c r="A235" s="72" t="s">
        <v>393</v>
      </c>
      <c r="B235" s="68">
        <v>8015764</v>
      </c>
      <c r="C235" s="68">
        <v>2013</v>
      </c>
      <c r="D235" s="68">
        <v>13</v>
      </c>
      <c r="E235" s="68" t="s">
        <v>4</v>
      </c>
      <c r="F235" s="68">
        <v>20</v>
      </c>
      <c r="G235" s="77" t="s">
        <v>14</v>
      </c>
      <c r="H235" s="88">
        <v>45736</v>
      </c>
    </row>
    <row r="236" spans="1:8">
      <c r="A236" s="72" t="s">
        <v>394</v>
      </c>
      <c r="B236" s="68">
        <v>8015634</v>
      </c>
      <c r="C236" s="68">
        <v>2013</v>
      </c>
      <c r="D236" s="68">
        <v>18</v>
      </c>
      <c r="E236" s="68" t="s">
        <v>4</v>
      </c>
      <c r="F236" s="68">
        <v>20</v>
      </c>
      <c r="G236" s="77" t="s">
        <v>14</v>
      </c>
      <c r="H236" s="88">
        <v>45865</v>
      </c>
    </row>
    <row r="237" spans="1:8">
      <c r="A237" s="72" t="s">
        <v>395</v>
      </c>
      <c r="B237" s="68">
        <v>8018415</v>
      </c>
      <c r="C237" s="68">
        <v>2010</v>
      </c>
      <c r="D237" s="68">
        <v>15</v>
      </c>
      <c r="E237" s="68" t="s">
        <v>7</v>
      </c>
      <c r="F237" s="68">
        <v>20</v>
      </c>
      <c r="G237" s="77" t="s">
        <v>14</v>
      </c>
      <c r="H237" s="91">
        <v>45600</v>
      </c>
    </row>
    <row r="238" spans="1:8">
      <c r="A238" s="72" t="s">
        <v>396</v>
      </c>
      <c r="B238" s="68">
        <v>8020963</v>
      </c>
      <c r="C238" s="68">
        <v>2022</v>
      </c>
      <c r="D238" s="68">
        <v>18</v>
      </c>
      <c r="E238" s="68" t="s">
        <v>7</v>
      </c>
      <c r="F238" s="68">
        <v>20</v>
      </c>
      <c r="G238" s="77" t="s">
        <v>14</v>
      </c>
      <c r="H238" s="88">
        <v>45703</v>
      </c>
    </row>
    <row r="239" spans="1:8">
      <c r="A239" s="72" t="s">
        <v>397</v>
      </c>
      <c r="B239" s="68">
        <v>8020818</v>
      </c>
      <c r="C239" s="68">
        <v>2022</v>
      </c>
      <c r="D239" s="68">
        <v>13</v>
      </c>
      <c r="E239" s="68" t="s">
        <v>7</v>
      </c>
      <c r="F239" s="68">
        <v>20</v>
      </c>
      <c r="G239" s="77" t="s">
        <v>14</v>
      </c>
      <c r="H239" s="88">
        <v>45832</v>
      </c>
    </row>
    <row r="240" spans="1:8">
      <c r="A240" s="74"/>
      <c r="B240" s="70">
        <v>8021600</v>
      </c>
      <c r="C240" s="70"/>
      <c r="D240" s="70">
        <v>16</v>
      </c>
      <c r="E240" s="70" t="s">
        <v>9</v>
      </c>
      <c r="F240" s="68">
        <v>20</v>
      </c>
      <c r="G240" s="77" t="s">
        <v>14</v>
      </c>
      <c r="H240" s="89"/>
    </row>
    <row r="241" spans="1:8">
      <c r="A241" s="72" t="s">
        <v>398</v>
      </c>
      <c r="B241" s="68">
        <v>8019091</v>
      </c>
      <c r="C241" s="68">
        <v>2019</v>
      </c>
      <c r="D241" s="68">
        <v>14</v>
      </c>
      <c r="E241" s="68" t="s">
        <v>7</v>
      </c>
      <c r="F241" s="68">
        <v>20</v>
      </c>
      <c r="G241" s="77" t="s">
        <v>14</v>
      </c>
      <c r="H241" s="88">
        <v>45684</v>
      </c>
    </row>
    <row r="242" spans="1:8">
      <c r="A242" s="72" t="s">
        <v>399</v>
      </c>
      <c r="B242" s="68">
        <v>8019110</v>
      </c>
      <c r="C242" s="68">
        <v>2019</v>
      </c>
      <c r="D242" s="68">
        <v>14</v>
      </c>
      <c r="E242" s="68" t="s">
        <v>7</v>
      </c>
      <c r="F242" s="68">
        <v>21</v>
      </c>
      <c r="G242" s="77" t="s">
        <v>14</v>
      </c>
      <c r="H242" s="88">
        <v>45773</v>
      </c>
    </row>
    <row r="243" spans="1:8">
      <c r="A243" s="72" t="s">
        <v>400</v>
      </c>
      <c r="B243" s="68">
        <v>8016492</v>
      </c>
      <c r="C243" s="68">
        <v>2014</v>
      </c>
      <c r="D243" s="68">
        <v>17</v>
      </c>
      <c r="E243" s="68" t="s">
        <v>10</v>
      </c>
      <c r="F243" s="68">
        <v>21</v>
      </c>
      <c r="G243" s="77" t="s">
        <v>14</v>
      </c>
      <c r="H243" s="92"/>
    </row>
    <row r="244" spans="1:8">
      <c r="A244" s="72" t="s">
        <v>401</v>
      </c>
      <c r="B244" s="68">
        <v>8018167</v>
      </c>
      <c r="C244" s="68">
        <v>2017</v>
      </c>
      <c r="D244" s="68">
        <v>18</v>
      </c>
      <c r="E244" s="68" t="s">
        <v>7</v>
      </c>
      <c r="F244" s="68">
        <v>21</v>
      </c>
      <c r="G244" s="77" t="s">
        <v>14</v>
      </c>
      <c r="H244" s="88">
        <v>45783</v>
      </c>
    </row>
    <row r="245" spans="1:8">
      <c r="A245" s="72" t="s">
        <v>402</v>
      </c>
      <c r="B245" s="68">
        <v>8006180</v>
      </c>
      <c r="C245" s="68">
        <v>2003</v>
      </c>
      <c r="D245" s="68">
        <v>17</v>
      </c>
      <c r="E245" s="68" t="s">
        <v>8</v>
      </c>
      <c r="F245" s="68">
        <v>21</v>
      </c>
      <c r="G245" s="77" t="s">
        <v>14</v>
      </c>
      <c r="H245" s="92"/>
    </row>
    <row r="246" spans="1:8">
      <c r="A246" s="72" t="s">
        <v>403</v>
      </c>
      <c r="B246" s="68">
        <v>8021254</v>
      </c>
      <c r="C246" s="68">
        <v>2022</v>
      </c>
      <c r="D246" s="68">
        <v>15</v>
      </c>
      <c r="E246" s="68" t="s">
        <v>9</v>
      </c>
      <c r="F246" s="68">
        <v>21</v>
      </c>
      <c r="G246" s="77" t="s">
        <v>14</v>
      </c>
      <c r="H246" s="88">
        <v>45719</v>
      </c>
    </row>
    <row r="247" spans="1:8">
      <c r="A247" s="72" t="s">
        <v>404</v>
      </c>
      <c r="B247" s="68">
        <v>8019087</v>
      </c>
      <c r="C247" s="68">
        <v>2019</v>
      </c>
      <c r="D247" s="68">
        <v>18</v>
      </c>
      <c r="E247" s="68" t="s">
        <v>10</v>
      </c>
      <c r="F247" s="68">
        <v>21</v>
      </c>
      <c r="G247" s="77" t="s">
        <v>14</v>
      </c>
      <c r="H247" s="88">
        <v>45813</v>
      </c>
    </row>
    <row r="248" spans="1:8">
      <c r="A248" s="72" t="s">
        <v>405</v>
      </c>
      <c r="B248" s="68">
        <v>8018738</v>
      </c>
      <c r="C248" s="68">
        <v>2018</v>
      </c>
      <c r="D248" s="68">
        <v>18</v>
      </c>
      <c r="E248" s="68" t="s">
        <v>10</v>
      </c>
      <c r="F248" s="68">
        <v>21</v>
      </c>
      <c r="G248" s="77" t="s">
        <v>14</v>
      </c>
      <c r="H248" s="88">
        <v>45686</v>
      </c>
    </row>
    <row r="249" spans="1:8">
      <c r="A249" s="72" t="s">
        <v>406</v>
      </c>
      <c r="B249" s="68">
        <v>8018010</v>
      </c>
      <c r="C249" s="68">
        <v>2017</v>
      </c>
      <c r="D249" s="68">
        <v>17</v>
      </c>
      <c r="E249" s="68" t="s">
        <v>10</v>
      </c>
      <c r="F249" s="68">
        <v>21</v>
      </c>
      <c r="G249" s="77" t="s">
        <v>14</v>
      </c>
      <c r="H249" s="91">
        <v>45117</v>
      </c>
    </row>
    <row r="250" spans="1:8">
      <c r="A250" s="72" t="s">
        <v>407</v>
      </c>
      <c r="B250" s="68">
        <v>8006938</v>
      </c>
      <c r="C250" s="68">
        <v>2003</v>
      </c>
      <c r="D250" s="68">
        <v>15</v>
      </c>
      <c r="E250" s="68" t="s">
        <v>8</v>
      </c>
      <c r="F250" s="68">
        <v>21</v>
      </c>
      <c r="G250" s="77" t="s">
        <v>14</v>
      </c>
      <c r="H250" s="88">
        <v>45784</v>
      </c>
    </row>
    <row r="251" spans="1:8">
      <c r="A251" s="72" t="s">
        <v>408</v>
      </c>
      <c r="B251" s="68">
        <v>8019086</v>
      </c>
      <c r="C251" s="68">
        <v>2019</v>
      </c>
      <c r="D251" s="68">
        <v>18</v>
      </c>
      <c r="E251" s="68" t="s">
        <v>10</v>
      </c>
      <c r="F251" s="68">
        <v>21</v>
      </c>
      <c r="G251" s="77" t="s">
        <v>14</v>
      </c>
      <c r="H251" s="88">
        <v>45907</v>
      </c>
    </row>
    <row r="252" spans="1:8">
      <c r="A252" s="72" t="s">
        <v>409</v>
      </c>
      <c r="B252" s="68">
        <v>8023097</v>
      </c>
      <c r="C252" s="68">
        <v>2025</v>
      </c>
      <c r="D252" s="68">
        <v>21</v>
      </c>
      <c r="E252" s="68" t="s">
        <v>9</v>
      </c>
      <c r="F252" s="68">
        <v>21</v>
      </c>
      <c r="G252" s="77" t="s">
        <v>14</v>
      </c>
      <c r="H252" s="92"/>
    </row>
    <row r="253" spans="1:8">
      <c r="A253" s="72" t="s">
        <v>410</v>
      </c>
      <c r="B253" s="68">
        <v>8008484</v>
      </c>
      <c r="C253" s="68">
        <v>2004</v>
      </c>
      <c r="D253" s="68">
        <v>13</v>
      </c>
      <c r="E253" s="68" t="s">
        <v>8</v>
      </c>
      <c r="F253" s="68">
        <v>21</v>
      </c>
      <c r="G253" s="77" t="s">
        <v>14</v>
      </c>
      <c r="H253" s="88">
        <v>45711</v>
      </c>
    </row>
    <row r="254" spans="1:8">
      <c r="A254" s="72" t="s">
        <v>411</v>
      </c>
      <c r="B254" s="68">
        <v>8020958</v>
      </c>
      <c r="C254" s="68">
        <v>2022</v>
      </c>
      <c r="D254" s="68">
        <v>17</v>
      </c>
      <c r="E254" s="68" t="s">
        <v>7</v>
      </c>
      <c r="F254" s="68">
        <v>22</v>
      </c>
      <c r="G254" s="77" t="s">
        <v>14</v>
      </c>
      <c r="H254" s="88">
        <v>45770</v>
      </c>
    </row>
    <row r="255" spans="1:8">
      <c r="A255" s="72" t="s">
        <v>412</v>
      </c>
      <c r="B255" s="68">
        <v>8016042</v>
      </c>
      <c r="C255" s="68">
        <v>2013</v>
      </c>
      <c r="D255" s="68">
        <v>16</v>
      </c>
      <c r="E255" s="68" t="s">
        <v>4</v>
      </c>
      <c r="F255" s="68">
        <v>22</v>
      </c>
      <c r="G255" s="77" t="s">
        <v>14</v>
      </c>
      <c r="H255" s="88">
        <v>45887</v>
      </c>
    </row>
    <row r="256" spans="1:8">
      <c r="A256" s="72" t="s">
        <v>413</v>
      </c>
      <c r="B256" s="68">
        <v>8018464</v>
      </c>
      <c r="C256" s="68">
        <v>2018</v>
      </c>
      <c r="D256" s="68">
        <v>19</v>
      </c>
      <c r="E256" s="68" t="s">
        <v>7</v>
      </c>
      <c r="F256" s="68">
        <v>22</v>
      </c>
      <c r="G256" s="77" t="s">
        <v>14</v>
      </c>
      <c r="H256" s="88">
        <v>45724</v>
      </c>
    </row>
    <row r="257" spans="1:8">
      <c r="A257" s="72" t="s">
        <v>414</v>
      </c>
      <c r="B257" s="68">
        <v>8019109</v>
      </c>
      <c r="C257" s="68">
        <v>2017</v>
      </c>
      <c r="D257" s="68">
        <v>14</v>
      </c>
      <c r="E257" s="68" t="s">
        <v>7</v>
      </c>
      <c r="F257" s="68">
        <v>22</v>
      </c>
      <c r="G257" s="77" t="s">
        <v>14</v>
      </c>
      <c r="H257" s="92">
        <v>45651</v>
      </c>
    </row>
    <row r="258" spans="1:8">
      <c r="A258" s="72"/>
      <c r="B258" s="68">
        <v>8021603</v>
      </c>
      <c r="C258" s="68">
        <v>2022</v>
      </c>
      <c r="D258" s="68">
        <v>18</v>
      </c>
      <c r="E258" s="68" t="s">
        <v>9</v>
      </c>
      <c r="F258" s="68">
        <v>22</v>
      </c>
      <c r="G258" s="77" t="s">
        <v>14</v>
      </c>
      <c r="H258" s="88"/>
    </row>
    <row r="259" spans="1:8">
      <c r="A259" s="72" t="s">
        <v>415</v>
      </c>
      <c r="B259" s="68" t="s">
        <v>416</v>
      </c>
      <c r="C259" s="68">
        <v>2006</v>
      </c>
      <c r="D259" s="68">
        <v>14</v>
      </c>
      <c r="E259" s="68" t="s">
        <v>8</v>
      </c>
      <c r="F259" s="68">
        <v>22</v>
      </c>
      <c r="G259" s="77" t="s">
        <v>14</v>
      </c>
      <c r="H259" s="91">
        <v>45438</v>
      </c>
    </row>
    <row r="260" spans="1:8">
      <c r="A260" s="72" t="s">
        <v>417</v>
      </c>
      <c r="B260" s="68">
        <v>8019013</v>
      </c>
      <c r="C260" s="68">
        <v>2019</v>
      </c>
      <c r="D260" s="68">
        <v>18</v>
      </c>
      <c r="E260" s="68" t="s">
        <v>7</v>
      </c>
      <c r="F260" s="68">
        <v>22</v>
      </c>
      <c r="G260" s="77" t="s">
        <v>14</v>
      </c>
      <c r="H260" s="88">
        <v>45677</v>
      </c>
    </row>
    <row r="261" spans="1:8">
      <c r="A261" s="72" t="s">
        <v>418</v>
      </c>
      <c r="B261" s="68">
        <v>8017250</v>
      </c>
      <c r="C261" s="68">
        <v>2015</v>
      </c>
      <c r="D261" s="68">
        <v>17</v>
      </c>
      <c r="E261" s="68" t="s">
        <v>7</v>
      </c>
      <c r="F261" s="68">
        <v>22</v>
      </c>
      <c r="G261" s="77" t="s">
        <v>14</v>
      </c>
      <c r="H261" s="88">
        <v>45855</v>
      </c>
    </row>
    <row r="262" spans="1:8">
      <c r="A262" s="72" t="s">
        <v>419</v>
      </c>
      <c r="B262" s="68">
        <v>8021547</v>
      </c>
      <c r="C262" s="68">
        <v>2022</v>
      </c>
      <c r="D262" s="68">
        <v>20</v>
      </c>
      <c r="E262" s="68" t="s">
        <v>7</v>
      </c>
      <c r="F262" s="68">
        <v>22</v>
      </c>
      <c r="G262" s="77" t="s">
        <v>14</v>
      </c>
      <c r="H262" s="91">
        <v>45633</v>
      </c>
    </row>
    <row r="263" spans="1:8">
      <c r="A263" s="72" t="s">
        <v>420</v>
      </c>
      <c r="B263" s="68">
        <v>8017960</v>
      </c>
      <c r="C263" s="68">
        <v>2019</v>
      </c>
      <c r="D263" s="68">
        <v>14</v>
      </c>
      <c r="E263" s="68" t="s">
        <v>7</v>
      </c>
      <c r="F263" s="68">
        <v>22</v>
      </c>
      <c r="G263" s="77" t="s">
        <v>14</v>
      </c>
      <c r="H263" s="88">
        <v>45745</v>
      </c>
    </row>
    <row r="264" spans="1:8">
      <c r="A264" s="72" t="s">
        <v>421</v>
      </c>
      <c r="B264" s="68">
        <v>8018397</v>
      </c>
      <c r="C264" s="68">
        <v>2010</v>
      </c>
      <c r="D264" s="68">
        <v>18</v>
      </c>
      <c r="E264" s="68" t="s">
        <v>7</v>
      </c>
      <c r="F264" s="68">
        <v>22</v>
      </c>
      <c r="G264" s="77" t="s">
        <v>14</v>
      </c>
      <c r="H264" s="88">
        <v>45820</v>
      </c>
    </row>
    <row r="265" spans="1:8">
      <c r="A265" s="72" t="s">
        <v>422</v>
      </c>
      <c r="B265" s="68">
        <v>8021542</v>
      </c>
      <c r="C265" s="68">
        <v>2022</v>
      </c>
      <c r="D265" s="68">
        <v>19</v>
      </c>
      <c r="E265" s="68" t="s">
        <v>7</v>
      </c>
      <c r="F265" s="68">
        <v>22</v>
      </c>
      <c r="G265" s="77" t="s">
        <v>14</v>
      </c>
      <c r="H265" s="88">
        <v>45876</v>
      </c>
    </row>
    <row r="266" spans="1:8">
      <c r="A266" s="72" t="s">
        <v>423</v>
      </c>
      <c r="B266" s="68">
        <v>8009101</v>
      </c>
      <c r="C266" s="68">
        <v>2005</v>
      </c>
      <c r="D266" s="68">
        <v>15</v>
      </c>
      <c r="E266" s="68" t="s">
        <v>8</v>
      </c>
      <c r="F266" s="68">
        <v>23</v>
      </c>
      <c r="G266" s="77" t="s">
        <v>14</v>
      </c>
      <c r="H266" s="88">
        <v>45685</v>
      </c>
    </row>
    <row r="267" spans="1:8">
      <c r="A267" s="72">
        <v>1606</v>
      </c>
      <c r="B267" s="68">
        <v>8021262</v>
      </c>
      <c r="C267" s="68">
        <v>2022</v>
      </c>
      <c r="D267" s="68">
        <v>16</v>
      </c>
      <c r="E267" s="68" t="s">
        <v>7</v>
      </c>
      <c r="F267" s="68">
        <v>23</v>
      </c>
      <c r="G267" s="77" t="s">
        <v>14</v>
      </c>
      <c r="H267" s="91">
        <v>45106</v>
      </c>
    </row>
    <row r="268" spans="1:8">
      <c r="A268" s="72" t="s">
        <v>424</v>
      </c>
      <c r="B268" s="68">
        <v>8019113</v>
      </c>
      <c r="C268" s="68">
        <v>2019</v>
      </c>
      <c r="D268" s="68">
        <v>14</v>
      </c>
      <c r="E268" s="68" t="s">
        <v>7</v>
      </c>
      <c r="F268" s="68">
        <v>23</v>
      </c>
      <c r="G268" s="77" t="s">
        <v>14</v>
      </c>
      <c r="H268" s="88">
        <v>45786</v>
      </c>
    </row>
    <row r="269" spans="1:8">
      <c r="A269" s="72" t="s">
        <v>425</v>
      </c>
      <c r="B269" s="68">
        <v>8019103</v>
      </c>
      <c r="C269" s="68">
        <v>2019</v>
      </c>
      <c r="D269" s="68">
        <v>13</v>
      </c>
      <c r="E269" s="68" t="s">
        <v>7</v>
      </c>
      <c r="F269" s="68">
        <v>23</v>
      </c>
      <c r="G269" s="77" t="s">
        <v>14</v>
      </c>
      <c r="H269" s="88">
        <v>45893</v>
      </c>
    </row>
    <row r="270" spans="1:8">
      <c r="A270" s="72"/>
      <c r="B270" s="68">
        <v>8021601</v>
      </c>
      <c r="C270" s="68">
        <v>2022</v>
      </c>
      <c r="D270" s="68">
        <v>17</v>
      </c>
      <c r="E270" s="68" t="s">
        <v>9</v>
      </c>
      <c r="F270" s="68">
        <v>23</v>
      </c>
      <c r="G270" s="77" t="s">
        <v>14</v>
      </c>
      <c r="H270" s="88"/>
    </row>
    <row r="271" spans="1:8">
      <c r="A271" s="72"/>
      <c r="B271" s="68">
        <v>8021602</v>
      </c>
      <c r="C271" s="68">
        <v>2022</v>
      </c>
      <c r="D271" s="68">
        <v>17</v>
      </c>
      <c r="E271" s="68" t="s">
        <v>9</v>
      </c>
      <c r="F271" s="68">
        <v>23</v>
      </c>
      <c r="G271" s="77" t="s">
        <v>14</v>
      </c>
      <c r="H271" s="88"/>
    </row>
    <row r="272" spans="1:8">
      <c r="A272" s="72" t="s">
        <v>426</v>
      </c>
      <c r="B272" s="68">
        <v>8009980</v>
      </c>
      <c r="C272" s="68">
        <v>2005</v>
      </c>
      <c r="D272" s="68">
        <v>15</v>
      </c>
      <c r="E272" s="68" t="s">
        <v>8</v>
      </c>
      <c r="F272" s="68">
        <v>23</v>
      </c>
      <c r="G272" s="77" t="s">
        <v>14</v>
      </c>
      <c r="H272" s="88">
        <v>45679</v>
      </c>
    </row>
    <row r="273" spans="1:8">
      <c r="A273" s="72" t="s">
        <v>427</v>
      </c>
      <c r="B273" s="68">
        <v>8019251</v>
      </c>
      <c r="C273" s="68">
        <v>2020</v>
      </c>
      <c r="D273" s="68">
        <v>16</v>
      </c>
      <c r="E273" s="68" t="s">
        <v>7</v>
      </c>
      <c r="F273" s="68">
        <v>23</v>
      </c>
      <c r="G273" s="77" t="s">
        <v>14</v>
      </c>
      <c r="H273" s="88">
        <v>45831</v>
      </c>
    </row>
    <row r="274" spans="1:8">
      <c r="A274" s="72" t="s">
        <v>428</v>
      </c>
      <c r="B274" s="68">
        <v>8021567</v>
      </c>
      <c r="C274" s="68">
        <v>2022</v>
      </c>
      <c r="D274" s="68">
        <v>15</v>
      </c>
      <c r="E274" s="68" t="s">
        <v>9</v>
      </c>
      <c r="F274" s="68">
        <v>23</v>
      </c>
      <c r="G274" s="77" t="s">
        <v>14</v>
      </c>
      <c r="H274" s="88">
        <v>45831</v>
      </c>
    </row>
    <row r="275" spans="1:8">
      <c r="A275" s="72" t="s">
        <v>429</v>
      </c>
      <c r="B275" s="68">
        <v>8010450</v>
      </c>
      <c r="C275" s="68">
        <v>2006</v>
      </c>
      <c r="D275" s="68">
        <v>20</v>
      </c>
      <c r="E275" s="68" t="s">
        <v>8</v>
      </c>
      <c r="F275" s="68">
        <v>23</v>
      </c>
      <c r="G275" s="77" t="s">
        <v>14</v>
      </c>
      <c r="H275" s="91">
        <v>44972</v>
      </c>
    </row>
    <row r="276" spans="1:8">
      <c r="A276" s="72" t="s">
        <v>430</v>
      </c>
      <c r="B276" s="68">
        <v>8018156</v>
      </c>
      <c r="C276" s="68">
        <v>2017</v>
      </c>
      <c r="D276" s="68">
        <v>19</v>
      </c>
      <c r="E276" s="68" t="s">
        <v>7</v>
      </c>
      <c r="F276" s="68">
        <v>23</v>
      </c>
      <c r="G276" s="77" t="s">
        <v>14</v>
      </c>
      <c r="H276" s="91">
        <v>45587</v>
      </c>
    </row>
    <row r="277" spans="1:8">
      <c r="A277" s="72" t="s">
        <v>431</v>
      </c>
      <c r="B277" s="68">
        <v>8018076</v>
      </c>
      <c r="C277" s="68">
        <v>2017</v>
      </c>
      <c r="D277" s="68">
        <v>14</v>
      </c>
      <c r="E277" s="68" t="s">
        <v>7</v>
      </c>
      <c r="F277" s="68">
        <v>23</v>
      </c>
      <c r="G277" s="77" t="s">
        <v>14</v>
      </c>
      <c r="H277" s="88">
        <v>45871</v>
      </c>
    </row>
    <row r="278" spans="1:8">
      <c r="A278" s="72" t="s">
        <v>432</v>
      </c>
      <c r="B278" s="68">
        <v>8018219</v>
      </c>
      <c r="C278" s="68">
        <v>2017</v>
      </c>
      <c r="D278" s="68">
        <v>17</v>
      </c>
      <c r="E278" s="68" t="s">
        <v>10</v>
      </c>
      <c r="F278" s="68" t="s">
        <v>23</v>
      </c>
      <c r="G278" s="77" t="s">
        <v>21</v>
      </c>
      <c r="H278" s="91">
        <v>45615</v>
      </c>
    </row>
    <row r="279" spans="1:8">
      <c r="A279" s="72" t="s">
        <v>433</v>
      </c>
      <c r="B279" s="68">
        <v>8009979</v>
      </c>
      <c r="C279" s="68">
        <v>2005</v>
      </c>
      <c r="D279" s="68">
        <v>15</v>
      </c>
      <c r="E279" s="68" t="s">
        <v>8</v>
      </c>
      <c r="F279" s="68" t="s">
        <v>23</v>
      </c>
      <c r="G279" s="77" t="s">
        <v>21</v>
      </c>
      <c r="H279" s="91">
        <v>45639</v>
      </c>
    </row>
    <row r="280" spans="1:8">
      <c r="A280" s="72" t="s">
        <v>434</v>
      </c>
      <c r="B280" s="68">
        <v>8010068</v>
      </c>
      <c r="C280" s="68">
        <v>2005</v>
      </c>
      <c r="D280" s="68">
        <v>17</v>
      </c>
      <c r="E280" s="68" t="s">
        <v>8</v>
      </c>
      <c r="F280" s="68" t="s">
        <v>23</v>
      </c>
      <c r="G280" s="77" t="s">
        <v>21</v>
      </c>
      <c r="H280" s="91">
        <v>45596</v>
      </c>
    </row>
    <row r="281" spans="1:8">
      <c r="A281" s="72" t="s">
        <v>435</v>
      </c>
      <c r="B281" s="68">
        <v>8010451</v>
      </c>
      <c r="C281" s="68">
        <v>2006</v>
      </c>
      <c r="D281" s="68">
        <v>18</v>
      </c>
      <c r="E281" s="68" t="s">
        <v>8</v>
      </c>
      <c r="F281" s="68" t="s">
        <v>23</v>
      </c>
      <c r="G281" s="77" t="s">
        <v>21</v>
      </c>
      <c r="H281" s="91">
        <v>45586</v>
      </c>
    </row>
    <row r="282" spans="1:8">
      <c r="A282" s="72" t="s">
        <v>436</v>
      </c>
      <c r="B282" s="68">
        <v>8006183</v>
      </c>
      <c r="C282" s="68">
        <v>2003</v>
      </c>
      <c r="D282" s="68">
        <v>17</v>
      </c>
      <c r="E282" s="68" t="s">
        <v>8</v>
      </c>
      <c r="F282" s="68" t="s">
        <v>23</v>
      </c>
      <c r="G282" s="77" t="s">
        <v>21</v>
      </c>
      <c r="H282" s="88">
        <v>45891</v>
      </c>
    </row>
    <row r="283" spans="1:8">
      <c r="A283" s="72" t="s">
        <v>437</v>
      </c>
      <c r="B283" s="68">
        <v>8018740</v>
      </c>
      <c r="C283" s="68">
        <v>2018</v>
      </c>
      <c r="D283" s="68">
        <v>15</v>
      </c>
      <c r="E283" s="68" t="s">
        <v>10</v>
      </c>
      <c r="F283" s="68" t="s">
        <v>23</v>
      </c>
      <c r="G283" s="77" t="s">
        <v>21</v>
      </c>
      <c r="H283" s="88">
        <v>45795</v>
      </c>
    </row>
    <row r="284" spans="1:8">
      <c r="A284" s="72" t="s">
        <v>438</v>
      </c>
      <c r="B284" s="68">
        <v>8006108</v>
      </c>
      <c r="C284" s="68">
        <v>2003</v>
      </c>
      <c r="D284" s="68">
        <v>17</v>
      </c>
      <c r="E284" s="68" t="s">
        <v>8</v>
      </c>
      <c r="F284" s="68" t="s">
        <v>23</v>
      </c>
      <c r="G284" s="77" t="s">
        <v>21</v>
      </c>
      <c r="H284" s="91">
        <v>45643</v>
      </c>
    </row>
    <row r="285" spans="1:8">
      <c r="A285" s="72" t="s">
        <v>439</v>
      </c>
      <c r="B285" s="68">
        <v>8005185</v>
      </c>
      <c r="C285" s="68">
        <v>2002</v>
      </c>
      <c r="D285" s="68">
        <v>16</v>
      </c>
      <c r="E285" s="68" t="s">
        <v>8</v>
      </c>
      <c r="F285" s="68" t="s">
        <v>23</v>
      </c>
      <c r="G285" s="77" t="s">
        <v>21</v>
      </c>
      <c r="H285" s="88">
        <v>45695</v>
      </c>
    </row>
    <row r="286" spans="1:8">
      <c r="A286" s="72" t="s">
        <v>440</v>
      </c>
      <c r="B286" s="68">
        <v>8006105</v>
      </c>
      <c r="C286" s="68">
        <v>2003</v>
      </c>
      <c r="D286" s="68">
        <v>17</v>
      </c>
      <c r="E286" s="68" t="s">
        <v>8</v>
      </c>
      <c r="F286" s="68" t="s">
        <v>23</v>
      </c>
      <c r="G286" s="77" t="s">
        <v>21</v>
      </c>
      <c r="H286" s="88">
        <v>45676</v>
      </c>
    </row>
    <row r="287" spans="1:8">
      <c r="A287" s="72" t="s">
        <v>441</v>
      </c>
      <c r="B287" s="68">
        <v>8005187</v>
      </c>
      <c r="C287" s="68">
        <v>2004</v>
      </c>
      <c r="D287" s="68">
        <v>16</v>
      </c>
      <c r="E287" s="68" t="s">
        <v>8</v>
      </c>
      <c r="F287" s="68" t="s">
        <v>23</v>
      </c>
      <c r="G287" s="77" t="s">
        <v>21</v>
      </c>
      <c r="H287" s="88">
        <v>45663</v>
      </c>
    </row>
    <row r="288" spans="1:8">
      <c r="A288" s="72" t="s">
        <v>442</v>
      </c>
      <c r="B288" s="68">
        <v>8018718</v>
      </c>
      <c r="C288" s="68">
        <v>2018</v>
      </c>
      <c r="D288" s="68">
        <v>16</v>
      </c>
      <c r="E288" s="68" t="s">
        <v>10</v>
      </c>
      <c r="F288" s="68" t="s">
        <v>22</v>
      </c>
      <c r="G288" s="77" t="s">
        <v>21</v>
      </c>
      <c r="H288" s="91">
        <v>46028</v>
      </c>
    </row>
    <row r="289" spans="1:8">
      <c r="A289" s="72" t="s">
        <v>443</v>
      </c>
      <c r="B289" s="68">
        <v>8018644</v>
      </c>
      <c r="C289" s="68">
        <v>2018</v>
      </c>
      <c r="D289" s="68">
        <v>16</v>
      </c>
      <c r="E289" s="68" t="s">
        <v>10</v>
      </c>
      <c r="F289" s="68" t="s">
        <v>22</v>
      </c>
      <c r="G289" s="77" t="s">
        <v>21</v>
      </c>
      <c r="H289" s="91">
        <v>46027</v>
      </c>
    </row>
    <row r="290" spans="1:8">
      <c r="A290" s="72" t="s">
        <v>444</v>
      </c>
      <c r="B290" s="68">
        <v>8019079</v>
      </c>
      <c r="C290" s="68">
        <v>2019</v>
      </c>
      <c r="D290" s="68">
        <v>16</v>
      </c>
      <c r="E290" s="68" t="s">
        <v>10</v>
      </c>
      <c r="F290" s="68" t="s">
        <v>22</v>
      </c>
      <c r="G290" s="77" t="s">
        <v>21</v>
      </c>
      <c r="H290" s="88">
        <v>45796</v>
      </c>
    </row>
    <row r="291" spans="1:8">
      <c r="A291" s="72" t="s">
        <v>445</v>
      </c>
      <c r="B291" s="68">
        <v>8017836</v>
      </c>
      <c r="C291" s="68">
        <v>2016</v>
      </c>
      <c r="D291" s="68">
        <v>18</v>
      </c>
      <c r="E291" s="68" t="s">
        <v>10</v>
      </c>
      <c r="F291" s="68" t="s">
        <v>22</v>
      </c>
      <c r="G291" s="77" t="s">
        <v>21</v>
      </c>
      <c r="H291" s="88">
        <v>45688</v>
      </c>
    </row>
    <row r="292" spans="1:8">
      <c r="A292" s="72" t="s">
        <v>446</v>
      </c>
      <c r="B292" s="68">
        <v>8018647</v>
      </c>
      <c r="C292" s="68">
        <v>2018</v>
      </c>
      <c r="D292" s="68">
        <v>15</v>
      </c>
      <c r="E292" s="68" t="s">
        <v>10</v>
      </c>
      <c r="F292" s="68" t="s">
        <v>22</v>
      </c>
      <c r="G292" s="77" t="s">
        <v>21</v>
      </c>
      <c r="H292" s="88"/>
    </row>
    <row r="293" spans="1:8">
      <c r="A293" s="72" t="s">
        <v>447</v>
      </c>
      <c r="B293" s="68">
        <v>8016485</v>
      </c>
      <c r="C293" s="68">
        <v>2014</v>
      </c>
      <c r="D293" s="68">
        <v>16</v>
      </c>
      <c r="E293" s="68" t="s">
        <v>10</v>
      </c>
      <c r="F293" s="68" t="s">
        <v>22</v>
      </c>
      <c r="G293" s="77" t="s">
        <v>21</v>
      </c>
      <c r="H293" s="88"/>
    </row>
    <row r="294" spans="1:8">
      <c r="A294" s="72">
        <v>1873</v>
      </c>
      <c r="B294" s="68">
        <v>8015521</v>
      </c>
      <c r="C294" s="68">
        <v>2012</v>
      </c>
      <c r="D294" s="68">
        <v>18</v>
      </c>
      <c r="E294" s="68" t="s">
        <v>4</v>
      </c>
      <c r="F294" s="68" t="s">
        <v>22</v>
      </c>
      <c r="G294" s="77" t="s">
        <v>21</v>
      </c>
      <c r="H294" s="88">
        <v>45743</v>
      </c>
    </row>
    <row r="295" spans="1:8">
      <c r="A295" s="74" t="s">
        <v>448</v>
      </c>
      <c r="B295" s="70">
        <v>8009099</v>
      </c>
      <c r="C295" s="70">
        <v>2005</v>
      </c>
      <c r="D295" s="70">
        <v>13</v>
      </c>
      <c r="E295" s="70" t="s">
        <v>8</v>
      </c>
      <c r="F295" s="70" t="s">
        <v>24</v>
      </c>
      <c r="G295" s="85" t="s">
        <v>21</v>
      </c>
      <c r="H295" s="89"/>
    </row>
  </sheetData>
  <pageMargins left="0.7" right="0.7" top="0.75" bottom="0.75" header="0.3" footer="0.3"/>
  <pageSetup paperSize="9" fitToHeight="0" orientation="portrait"/>
  <headerFooter>
    <oddFooter>&amp;L_x000D_&amp;1#&amp;"Calibri"&amp;10&amp;K000000 MAS | MAS Only</oddFooter>
  </headerFooter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9ACB-9A01-41D3-ADFF-20D7A374D6B2}">
  <dimension ref="A1:G13"/>
  <sheetViews>
    <sheetView workbookViewId="0">
      <pane ySplit="1" topLeftCell="A2" activePane="bottomLeft" state="frozen"/>
      <selection pane="bottomLeft" activeCell="K8" sqref="K8"/>
    </sheetView>
  </sheetViews>
  <sheetFormatPr defaultRowHeight="15"/>
  <cols>
    <col min="1" max="1" width="18.85546875" bestFit="1" customWidth="1"/>
    <col min="2" max="2" width="15.7109375" style="31" customWidth="1"/>
    <col min="3" max="3" width="19.85546875" style="51" customWidth="1"/>
    <col min="4" max="4" width="19.85546875" style="31" customWidth="1"/>
    <col min="5" max="5" width="14" style="31" customWidth="1"/>
    <col min="6" max="6" width="15" style="31" customWidth="1"/>
    <col min="7" max="7" width="18.42578125" style="31" customWidth="1"/>
  </cols>
  <sheetData>
    <row r="1" spans="1:7" s="22" customFormat="1">
      <c r="A1" s="71" t="s">
        <v>36</v>
      </c>
      <c r="B1" s="69" t="s">
        <v>37</v>
      </c>
      <c r="C1" s="80" t="s">
        <v>449</v>
      </c>
      <c r="D1" s="69" t="s">
        <v>38</v>
      </c>
      <c r="E1" s="69" t="s">
        <v>3</v>
      </c>
      <c r="F1" s="69" t="s">
        <v>2</v>
      </c>
      <c r="G1" s="75" t="s">
        <v>30</v>
      </c>
    </row>
    <row r="2" spans="1:7">
      <c r="A2" s="72">
        <v>1386</v>
      </c>
      <c r="B2" s="68">
        <v>8004818</v>
      </c>
      <c r="C2" s="79"/>
      <c r="D2" s="68">
        <v>2002</v>
      </c>
      <c r="E2" s="68">
        <v>13</v>
      </c>
      <c r="F2" s="68" t="s">
        <v>8</v>
      </c>
      <c r="G2" s="76" t="s">
        <v>31</v>
      </c>
    </row>
    <row r="3" spans="1:7">
      <c r="A3" s="72" t="s">
        <v>450</v>
      </c>
      <c r="B3" s="68">
        <v>8011191</v>
      </c>
      <c r="C3" s="79"/>
      <c r="D3" s="68">
        <v>2007</v>
      </c>
      <c r="E3" s="68">
        <v>14</v>
      </c>
      <c r="F3" s="68" t="s">
        <v>4</v>
      </c>
      <c r="G3" s="76" t="s">
        <v>31</v>
      </c>
    </row>
    <row r="4" spans="1:7">
      <c r="A4" s="72">
        <v>1482</v>
      </c>
      <c r="B4" s="68">
        <v>8016709</v>
      </c>
      <c r="C4" s="79"/>
      <c r="D4" s="68">
        <v>2014</v>
      </c>
      <c r="E4" s="68">
        <v>14</v>
      </c>
      <c r="F4" s="68" t="s">
        <v>4</v>
      </c>
      <c r="G4" s="76" t="s">
        <v>31</v>
      </c>
    </row>
    <row r="5" spans="1:7">
      <c r="A5" s="72" t="s">
        <v>451</v>
      </c>
      <c r="B5" s="68">
        <v>8004767</v>
      </c>
      <c r="C5" s="79"/>
      <c r="D5" s="68">
        <v>2001</v>
      </c>
      <c r="E5" s="68">
        <v>14</v>
      </c>
      <c r="F5" s="68" t="s">
        <v>8</v>
      </c>
      <c r="G5" s="76" t="s">
        <v>31</v>
      </c>
    </row>
    <row r="6" spans="1:7">
      <c r="A6" s="72">
        <v>15132</v>
      </c>
      <c r="B6" s="68">
        <v>8007261</v>
      </c>
      <c r="C6" s="79"/>
      <c r="D6" s="68">
        <v>2003</v>
      </c>
      <c r="E6" s="68">
        <v>15</v>
      </c>
      <c r="F6" s="68" t="s">
        <v>8</v>
      </c>
      <c r="G6" s="76" t="s">
        <v>31</v>
      </c>
    </row>
    <row r="7" spans="1:7">
      <c r="A7" s="72">
        <v>1513</v>
      </c>
      <c r="B7" s="68">
        <v>8005186</v>
      </c>
      <c r="C7" s="79"/>
      <c r="D7" s="68">
        <v>2002</v>
      </c>
      <c r="E7" s="68">
        <v>15</v>
      </c>
      <c r="F7" s="68" t="s">
        <v>8</v>
      </c>
      <c r="G7" s="76" t="s">
        <v>31</v>
      </c>
    </row>
    <row r="8" spans="1:7">
      <c r="A8" s="72" t="s">
        <v>452</v>
      </c>
      <c r="B8" s="68">
        <v>8008496</v>
      </c>
      <c r="C8" s="79"/>
      <c r="D8" s="68">
        <v>2004</v>
      </c>
      <c r="E8" s="68">
        <v>15</v>
      </c>
      <c r="F8" s="68" t="s">
        <v>8</v>
      </c>
      <c r="G8" s="76" t="s">
        <v>31</v>
      </c>
    </row>
    <row r="9" spans="1:7">
      <c r="A9" s="72">
        <v>1706</v>
      </c>
      <c r="B9" s="68">
        <v>8010477</v>
      </c>
      <c r="C9" s="79"/>
      <c r="D9" s="68">
        <v>2012</v>
      </c>
      <c r="E9" s="68">
        <v>17</v>
      </c>
      <c r="F9" s="68" t="s">
        <v>8</v>
      </c>
      <c r="G9" s="76" t="s">
        <v>31</v>
      </c>
    </row>
    <row r="10" spans="1:7">
      <c r="A10" s="72" t="s">
        <v>453</v>
      </c>
      <c r="B10" s="68">
        <v>8010052</v>
      </c>
      <c r="C10" s="79"/>
      <c r="D10" s="68">
        <v>2005</v>
      </c>
      <c r="E10" s="68">
        <v>17</v>
      </c>
      <c r="F10" s="68" t="s">
        <v>8</v>
      </c>
      <c r="G10" s="76" t="s">
        <v>31</v>
      </c>
    </row>
    <row r="11" spans="1:7">
      <c r="A11" s="72" t="s">
        <v>454</v>
      </c>
      <c r="B11" s="68">
        <v>8016516</v>
      </c>
      <c r="C11" s="79"/>
      <c r="D11" s="68">
        <v>2014</v>
      </c>
      <c r="E11" s="68">
        <v>15</v>
      </c>
      <c r="F11" s="68" t="s">
        <v>29</v>
      </c>
      <c r="G11" s="76" t="s">
        <v>31</v>
      </c>
    </row>
    <row r="12" spans="1:7">
      <c r="A12" s="72" t="s">
        <v>455</v>
      </c>
      <c r="B12" s="68">
        <v>8017991</v>
      </c>
      <c r="C12" s="79"/>
      <c r="D12" s="68">
        <v>2017</v>
      </c>
      <c r="E12" s="68">
        <v>17</v>
      </c>
      <c r="F12" s="68" t="s">
        <v>29</v>
      </c>
      <c r="G12" s="76" t="s">
        <v>31</v>
      </c>
    </row>
    <row r="13" spans="1:7">
      <c r="A13" s="74" t="s">
        <v>456</v>
      </c>
      <c r="B13" s="70">
        <v>8003064</v>
      </c>
      <c r="C13" s="81"/>
      <c r="D13" s="70">
        <v>2000</v>
      </c>
      <c r="E13" s="70">
        <v>13</v>
      </c>
      <c r="F13" s="70" t="s">
        <v>28</v>
      </c>
      <c r="G13" s="78" t="s">
        <v>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95F6-8503-4396-848D-226F0E322C66}">
  <dimension ref="A1:F15"/>
  <sheetViews>
    <sheetView workbookViewId="0">
      <selection activeCell="D20" sqref="D20"/>
    </sheetView>
  </sheetViews>
  <sheetFormatPr defaultRowHeight="15"/>
  <cols>
    <col min="1" max="1" width="21.28515625" customWidth="1"/>
    <col min="2" max="2" width="16" customWidth="1"/>
    <col min="3" max="3" width="15.7109375" customWidth="1"/>
    <col min="4" max="4" width="14.7109375" customWidth="1"/>
    <col min="5" max="5" width="14" customWidth="1"/>
    <col min="6" max="6" width="18.42578125" bestFit="1" customWidth="1"/>
  </cols>
  <sheetData>
    <row r="1" spans="1:6">
      <c r="A1" s="71" t="s">
        <v>36</v>
      </c>
      <c r="B1" s="69" t="s">
        <v>37</v>
      </c>
      <c r="C1" s="69" t="s">
        <v>38</v>
      </c>
      <c r="D1" s="69" t="s">
        <v>3</v>
      </c>
      <c r="E1" s="69" t="s">
        <v>2</v>
      </c>
      <c r="F1" s="75" t="s">
        <v>30</v>
      </c>
    </row>
    <row r="2" spans="1:6">
      <c r="A2" s="72">
        <v>1386</v>
      </c>
      <c r="B2" s="68">
        <v>8004818</v>
      </c>
      <c r="C2" s="68">
        <v>2002</v>
      </c>
      <c r="D2" s="68">
        <v>13</v>
      </c>
      <c r="E2" s="68" t="s">
        <v>8</v>
      </c>
      <c r="F2" s="76" t="s">
        <v>31</v>
      </c>
    </row>
    <row r="3" spans="1:6">
      <c r="A3" s="72" t="s">
        <v>450</v>
      </c>
      <c r="B3" s="68">
        <v>8011191</v>
      </c>
      <c r="C3" s="68">
        <v>2007</v>
      </c>
      <c r="D3" s="68">
        <v>14</v>
      </c>
      <c r="E3" s="68" t="s">
        <v>4</v>
      </c>
      <c r="F3" s="76" t="s">
        <v>31</v>
      </c>
    </row>
    <row r="4" spans="1:6">
      <c r="A4" s="72">
        <v>1482</v>
      </c>
      <c r="B4" s="68">
        <v>8016709</v>
      </c>
      <c r="C4" s="68">
        <v>2014</v>
      </c>
      <c r="D4" s="68">
        <v>14</v>
      </c>
      <c r="E4" s="68" t="s">
        <v>4</v>
      </c>
      <c r="F4" s="76" t="s">
        <v>31</v>
      </c>
    </row>
    <row r="5" spans="1:6">
      <c r="A5" s="72" t="s">
        <v>451</v>
      </c>
      <c r="B5" s="68">
        <v>8004767</v>
      </c>
      <c r="C5" s="68">
        <v>2001</v>
      </c>
      <c r="D5" s="68">
        <v>14</v>
      </c>
      <c r="E5" s="68" t="s">
        <v>8</v>
      </c>
      <c r="F5" s="76" t="s">
        <v>31</v>
      </c>
    </row>
    <row r="6" spans="1:6">
      <c r="A6" s="72">
        <v>15132</v>
      </c>
      <c r="B6" s="68">
        <v>8007261</v>
      </c>
      <c r="C6" s="68">
        <v>2003</v>
      </c>
      <c r="D6" s="68">
        <v>15</v>
      </c>
      <c r="E6" s="68" t="s">
        <v>8</v>
      </c>
      <c r="F6" s="76" t="s">
        <v>31</v>
      </c>
    </row>
    <row r="7" spans="1:6">
      <c r="A7" s="72">
        <v>1513</v>
      </c>
      <c r="B7" s="68">
        <v>8005186</v>
      </c>
      <c r="C7" s="68">
        <v>2002</v>
      </c>
      <c r="D7" s="68">
        <v>15</v>
      </c>
      <c r="E7" s="68" t="s">
        <v>8</v>
      </c>
      <c r="F7" s="76" t="s">
        <v>31</v>
      </c>
    </row>
    <row r="8" spans="1:6">
      <c r="A8" s="72" t="s">
        <v>452</v>
      </c>
      <c r="B8" s="68">
        <v>8008496</v>
      </c>
      <c r="C8" s="68">
        <v>2004</v>
      </c>
      <c r="D8" s="68">
        <v>15</v>
      </c>
      <c r="E8" s="68" t="s">
        <v>8</v>
      </c>
      <c r="F8" s="76" t="s">
        <v>31</v>
      </c>
    </row>
    <row r="9" spans="1:6">
      <c r="A9" s="72">
        <v>1706</v>
      </c>
      <c r="B9" s="68">
        <v>8010477</v>
      </c>
      <c r="C9" s="68">
        <v>2012</v>
      </c>
      <c r="D9" s="68">
        <v>17</v>
      </c>
      <c r="E9" s="68" t="s">
        <v>8</v>
      </c>
      <c r="F9" s="76" t="s">
        <v>31</v>
      </c>
    </row>
    <row r="10" spans="1:6">
      <c r="A10" s="72" t="s">
        <v>453</v>
      </c>
      <c r="B10" s="68">
        <v>8010052</v>
      </c>
      <c r="C10" s="68">
        <v>2005</v>
      </c>
      <c r="D10" s="68">
        <v>17</v>
      </c>
      <c r="E10" s="68" t="s">
        <v>8</v>
      </c>
      <c r="F10" s="76" t="s">
        <v>31</v>
      </c>
    </row>
    <row r="11" spans="1:6">
      <c r="A11" s="72" t="s">
        <v>457</v>
      </c>
      <c r="B11" s="68">
        <v>8016516</v>
      </c>
      <c r="C11" s="68">
        <v>2014</v>
      </c>
      <c r="D11" s="68">
        <v>15</v>
      </c>
      <c r="E11" s="68" t="s">
        <v>29</v>
      </c>
      <c r="F11" s="76" t="s">
        <v>31</v>
      </c>
    </row>
    <row r="12" spans="1:6">
      <c r="A12" s="72" t="s">
        <v>458</v>
      </c>
      <c r="B12" s="68">
        <v>8017991</v>
      </c>
      <c r="C12" s="68">
        <v>2017</v>
      </c>
      <c r="D12" s="68">
        <v>17</v>
      </c>
      <c r="E12" s="68" t="s">
        <v>29</v>
      </c>
      <c r="F12" s="76" t="s">
        <v>31</v>
      </c>
    </row>
    <row r="13" spans="1:6">
      <c r="A13" s="72" t="s">
        <v>456</v>
      </c>
      <c r="B13" s="68">
        <v>8003064</v>
      </c>
      <c r="C13" s="68">
        <v>2000</v>
      </c>
      <c r="D13" s="68">
        <v>13</v>
      </c>
      <c r="E13" s="68" t="s">
        <v>28</v>
      </c>
      <c r="F13" s="76" t="s">
        <v>31</v>
      </c>
    </row>
    <row r="14" spans="1:6">
      <c r="A14" s="73" t="s">
        <v>459</v>
      </c>
      <c r="B14" s="68">
        <v>8018413</v>
      </c>
      <c r="C14" s="68">
        <v>2017</v>
      </c>
      <c r="D14" s="68">
        <v>15</v>
      </c>
      <c r="E14" s="68" t="s">
        <v>460</v>
      </c>
      <c r="F14" s="77" t="s">
        <v>461</v>
      </c>
    </row>
    <row r="15" spans="1:6">
      <c r="A15" s="74" t="s">
        <v>462</v>
      </c>
      <c r="B15" s="70">
        <v>8017981</v>
      </c>
      <c r="C15" s="70">
        <v>2017</v>
      </c>
      <c r="D15" s="70">
        <v>14</v>
      </c>
      <c r="E15" s="70" t="s">
        <v>460</v>
      </c>
      <c r="F15" s="78" t="s">
        <v>461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76B9-9456-49F2-9B36-A43AF115BB1B}">
  <dimension ref="A1:E295"/>
  <sheetViews>
    <sheetView workbookViewId="0">
      <selection activeCell="I18" sqref="I18"/>
    </sheetView>
  </sheetViews>
  <sheetFormatPr defaultRowHeight="15"/>
  <cols>
    <col min="1" max="1" width="18.85546875" customWidth="1"/>
    <col min="2" max="2" width="22.85546875" customWidth="1"/>
    <col min="3" max="3" width="15.7109375" customWidth="1"/>
    <col min="4" max="4" width="16.7109375" customWidth="1"/>
    <col min="5" max="5" width="17.140625" customWidth="1"/>
    <col min="7" max="7" width="11.140625" bestFit="1" customWidth="1"/>
    <col min="8" max="8" width="12.28515625" bestFit="1" customWidth="1"/>
    <col min="9" max="9" width="17" bestFit="1" customWidth="1"/>
  </cols>
  <sheetData>
    <row r="1" spans="1:5">
      <c r="A1" s="14" t="s">
        <v>36</v>
      </c>
      <c r="B1" s="15" t="s">
        <v>37</v>
      </c>
      <c r="C1" s="16" t="s">
        <v>38</v>
      </c>
      <c r="D1" s="14" t="s">
        <v>3</v>
      </c>
      <c r="E1" s="14" t="s">
        <v>2</v>
      </c>
    </row>
    <row r="2" spans="1:5">
      <c r="A2" s="1">
        <v>2025</v>
      </c>
      <c r="B2" s="5">
        <v>8020936</v>
      </c>
      <c r="C2" s="11">
        <v>2022</v>
      </c>
      <c r="D2" s="1">
        <v>20</v>
      </c>
      <c r="E2" s="1" t="s">
        <v>463</v>
      </c>
    </row>
    <row r="3" spans="1:5">
      <c r="A3" s="1">
        <v>2023</v>
      </c>
      <c r="B3" s="5">
        <v>8016221</v>
      </c>
      <c r="C3" s="11">
        <v>2013</v>
      </c>
      <c r="D3" s="1">
        <v>20</v>
      </c>
      <c r="E3" s="1" t="s">
        <v>464</v>
      </c>
    </row>
    <row r="4" spans="1:5">
      <c r="A4" s="1">
        <v>1947</v>
      </c>
      <c r="B4" s="5">
        <v>8015556</v>
      </c>
      <c r="C4" s="11">
        <v>2012</v>
      </c>
      <c r="D4" s="1">
        <v>19</v>
      </c>
      <c r="E4" s="1" t="s">
        <v>464</v>
      </c>
    </row>
    <row r="5" spans="1:5">
      <c r="A5" s="1">
        <v>1450</v>
      </c>
      <c r="B5" s="5">
        <v>8015749</v>
      </c>
      <c r="C5" s="11">
        <v>2013</v>
      </c>
      <c r="D5" s="1">
        <v>14</v>
      </c>
      <c r="E5" s="1" t="s">
        <v>464</v>
      </c>
    </row>
    <row r="6" spans="1:5">
      <c r="A6" s="1">
        <v>1693</v>
      </c>
      <c r="B6" s="5">
        <v>8015606</v>
      </c>
      <c r="C6" s="11">
        <v>2013</v>
      </c>
      <c r="D6" s="1">
        <v>16</v>
      </c>
      <c r="E6" s="1" t="s">
        <v>464</v>
      </c>
    </row>
    <row r="7" spans="1:5">
      <c r="A7" s="1">
        <v>15135</v>
      </c>
      <c r="B7" s="5">
        <v>8004605</v>
      </c>
      <c r="C7" s="11">
        <v>2001</v>
      </c>
      <c r="D7" s="1">
        <v>15</v>
      </c>
      <c r="E7" s="1" t="s">
        <v>465</v>
      </c>
    </row>
    <row r="8" spans="1:5">
      <c r="A8" s="1" t="s">
        <v>466</v>
      </c>
      <c r="B8" s="5">
        <v>8013492</v>
      </c>
      <c r="C8" s="11">
        <v>2010</v>
      </c>
      <c r="D8" s="1">
        <v>17</v>
      </c>
      <c r="E8" s="1" t="s">
        <v>464</v>
      </c>
    </row>
    <row r="9" spans="1:5">
      <c r="A9" s="1">
        <v>1822</v>
      </c>
      <c r="B9" s="5">
        <v>8015522</v>
      </c>
      <c r="C9" s="11">
        <v>2012</v>
      </c>
      <c r="D9" s="1">
        <v>18</v>
      </c>
      <c r="E9" s="1" t="s">
        <v>464</v>
      </c>
    </row>
    <row r="10" spans="1:5">
      <c r="A10" s="1">
        <v>1387</v>
      </c>
      <c r="B10" s="5">
        <v>8015837</v>
      </c>
      <c r="C10" s="11">
        <v>2013</v>
      </c>
      <c r="D10" s="1">
        <v>13</v>
      </c>
      <c r="E10" s="1" t="s">
        <v>464</v>
      </c>
    </row>
    <row r="11" spans="1:5">
      <c r="A11" s="1">
        <v>1590</v>
      </c>
      <c r="B11" s="5">
        <v>8014553</v>
      </c>
      <c r="C11" s="11">
        <v>2011</v>
      </c>
      <c r="D11" s="1">
        <v>15</v>
      </c>
      <c r="E11" s="1" t="s">
        <v>464</v>
      </c>
    </row>
    <row r="12" spans="1:5">
      <c r="A12" s="1">
        <v>1213</v>
      </c>
      <c r="B12" s="5">
        <v>8016050</v>
      </c>
      <c r="C12" s="11">
        <v>2013</v>
      </c>
      <c r="D12" s="1">
        <v>12</v>
      </c>
      <c r="E12" s="1" t="s">
        <v>464</v>
      </c>
    </row>
    <row r="13" spans="1:5">
      <c r="A13" s="1">
        <v>16110</v>
      </c>
      <c r="B13" s="5">
        <v>8016043</v>
      </c>
      <c r="C13" s="11">
        <v>2013</v>
      </c>
      <c r="D13" s="1">
        <v>16</v>
      </c>
      <c r="E13" s="1" t="s">
        <v>464</v>
      </c>
    </row>
    <row r="14" spans="1:5">
      <c r="A14" s="1">
        <v>1799</v>
      </c>
      <c r="B14" s="5">
        <v>8018469</v>
      </c>
      <c r="C14" s="11">
        <v>2018</v>
      </c>
      <c r="D14" s="1">
        <v>17</v>
      </c>
      <c r="E14" s="1" t="s">
        <v>463</v>
      </c>
    </row>
    <row r="15" spans="1:5">
      <c r="A15" s="1">
        <v>1784</v>
      </c>
      <c r="B15" s="5">
        <v>8017966</v>
      </c>
      <c r="C15" s="11">
        <v>2017</v>
      </c>
      <c r="D15" s="1">
        <v>17</v>
      </c>
      <c r="E15" s="1" t="s">
        <v>463</v>
      </c>
    </row>
    <row r="16" spans="1:5">
      <c r="A16" s="1">
        <v>1315</v>
      </c>
      <c r="B16" s="5">
        <v>8015277</v>
      </c>
      <c r="C16" s="11">
        <v>2012</v>
      </c>
      <c r="D16" s="1">
        <v>13</v>
      </c>
      <c r="E16" s="1" t="s">
        <v>464</v>
      </c>
    </row>
    <row r="17" spans="1:5">
      <c r="A17" s="1">
        <v>1778</v>
      </c>
      <c r="B17" s="5">
        <v>8019095</v>
      </c>
      <c r="C17" s="11">
        <v>2019</v>
      </c>
      <c r="D17" s="1">
        <v>17</v>
      </c>
      <c r="E17" s="1" t="s">
        <v>463</v>
      </c>
    </row>
    <row r="18" spans="1:5">
      <c r="A18" s="1">
        <v>17104</v>
      </c>
      <c r="B18" s="5">
        <v>8018466</v>
      </c>
      <c r="C18" s="11">
        <v>2018</v>
      </c>
      <c r="D18" s="1">
        <v>17</v>
      </c>
      <c r="E18" s="1" t="s">
        <v>463</v>
      </c>
    </row>
    <row r="19" spans="1:5">
      <c r="A19" s="1">
        <v>1780</v>
      </c>
      <c r="B19" s="5">
        <v>8018272</v>
      </c>
      <c r="C19" s="11">
        <v>2017</v>
      </c>
      <c r="D19" s="1">
        <v>17</v>
      </c>
      <c r="E19" s="1" t="s">
        <v>463</v>
      </c>
    </row>
    <row r="20" spans="1:5">
      <c r="A20" s="1">
        <v>1869</v>
      </c>
      <c r="B20" s="5">
        <v>8018154</v>
      </c>
      <c r="C20" s="11">
        <v>2017</v>
      </c>
      <c r="D20" s="1">
        <v>18</v>
      </c>
      <c r="E20" s="1" t="s">
        <v>463</v>
      </c>
    </row>
    <row r="21" spans="1:5">
      <c r="A21" s="1">
        <v>1864</v>
      </c>
      <c r="B21" s="5">
        <v>8019104</v>
      </c>
      <c r="C21" s="11">
        <v>2019</v>
      </c>
      <c r="D21" s="1">
        <v>18</v>
      </c>
      <c r="E21" s="1" t="s">
        <v>463</v>
      </c>
    </row>
    <row r="22" spans="1:5">
      <c r="A22" s="1">
        <v>1788</v>
      </c>
      <c r="B22" s="5">
        <v>8009086</v>
      </c>
      <c r="C22" s="11">
        <v>2005</v>
      </c>
      <c r="D22" s="1">
        <v>17</v>
      </c>
      <c r="E22" s="1" t="s">
        <v>465</v>
      </c>
    </row>
    <row r="23" spans="1:5">
      <c r="A23" s="1">
        <v>17106</v>
      </c>
      <c r="B23" s="5">
        <v>8017240</v>
      </c>
      <c r="C23" s="11">
        <v>2015</v>
      </c>
      <c r="D23" s="1">
        <v>17</v>
      </c>
      <c r="E23" s="1" t="s">
        <v>463</v>
      </c>
    </row>
    <row r="24" spans="1:5">
      <c r="A24" s="1">
        <v>1934</v>
      </c>
      <c r="B24" s="5">
        <v>8018384</v>
      </c>
      <c r="C24" s="11">
        <v>2018</v>
      </c>
      <c r="D24" s="1">
        <v>19</v>
      </c>
      <c r="E24" s="1" t="s">
        <v>463</v>
      </c>
    </row>
    <row r="25" spans="1:5">
      <c r="A25" s="1">
        <v>1964</v>
      </c>
      <c r="B25" s="5">
        <v>8021543</v>
      </c>
      <c r="C25" s="11">
        <v>2022</v>
      </c>
      <c r="D25" s="1">
        <v>19</v>
      </c>
      <c r="E25" s="1" t="s">
        <v>463</v>
      </c>
    </row>
    <row r="26" spans="1:5">
      <c r="A26" s="1">
        <v>17116</v>
      </c>
      <c r="B26" s="5">
        <v>8006106</v>
      </c>
      <c r="C26" s="11">
        <v>2003</v>
      </c>
      <c r="D26" s="1">
        <v>17</v>
      </c>
      <c r="E26" s="1" t="s">
        <v>465</v>
      </c>
    </row>
    <row r="27" spans="1:5">
      <c r="A27" s="1">
        <v>1617</v>
      </c>
      <c r="B27" s="5">
        <v>8005187</v>
      </c>
      <c r="C27" s="11">
        <v>2004</v>
      </c>
      <c r="D27" s="1">
        <v>16</v>
      </c>
      <c r="E27" s="1" t="s">
        <v>465</v>
      </c>
    </row>
    <row r="28" spans="1:5">
      <c r="A28" s="1">
        <v>17109</v>
      </c>
      <c r="B28" s="5">
        <v>8006181</v>
      </c>
      <c r="C28" s="11">
        <v>2003</v>
      </c>
      <c r="D28" s="1">
        <v>17</v>
      </c>
      <c r="E28" s="1" t="s">
        <v>465</v>
      </c>
    </row>
    <row r="29" spans="1:5">
      <c r="A29" s="1">
        <v>1394</v>
      </c>
      <c r="B29" s="5">
        <v>8015927</v>
      </c>
      <c r="C29" s="11">
        <v>2013</v>
      </c>
      <c r="D29" s="1">
        <v>13</v>
      </c>
      <c r="E29" s="1" t="s">
        <v>464</v>
      </c>
    </row>
    <row r="30" spans="1:5">
      <c r="A30" s="1">
        <v>1865</v>
      </c>
      <c r="B30" s="5">
        <v>8019105</v>
      </c>
      <c r="C30" s="11">
        <v>2019</v>
      </c>
      <c r="D30" s="1">
        <v>18</v>
      </c>
      <c r="E30" s="1" t="s">
        <v>463</v>
      </c>
    </row>
    <row r="31" spans="1:5">
      <c r="A31" s="1">
        <v>1371</v>
      </c>
      <c r="B31" s="5">
        <v>8017955</v>
      </c>
      <c r="C31" s="11">
        <v>2017</v>
      </c>
      <c r="D31" s="1">
        <v>13</v>
      </c>
      <c r="E31" s="1" t="s">
        <v>463</v>
      </c>
    </row>
    <row r="32" spans="1:5">
      <c r="A32" s="1">
        <v>17110</v>
      </c>
      <c r="B32" s="5">
        <v>8006107</v>
      </c>
      <c r="C32" s="11">
        <v>2003</v>
      </c>
      <c r="D32" s="1">
        <v>17</v>
      </c>
      <c r="E32" s="1" t="s">
        <v>465</v>
      </c>
    </row>
    <row r="33" spans="1:5">
      <c r="A33" s="1">
        <v>17107</v>
      </c>
      <c r="B33" s="5">
        <v>8017230</v>
      </c>
      <c r="C33" s="11">
        <v>2015</v>
      </c>
      <c r="D33" s="1">
        <v>17</v>
      </c>
      <c r="E33" s="1" t="s">
        <v>463</v>
      </c>
    </row>
    <row r="34" spans="1:5">
      <c r="A34" s="1">
        <v>16116</v>
      </c>
      <c r="B34" s="5">
        <v>8005185</v>
      </c>
      <c r="C34" s="11">
        <v>2002</v>
      </c>
      <c r="D34" s="1">
        <v>16</v>
      </c>
      <c r="E34" s="1" t="s">
        <v>465</v>
      </c>
    </row>
    <row r="35" spans="1:5">
      <c r="A35" s="1">
        <v>1867</v>
      </c>
      <c r="B35" s="5">
        <v>8018975</v>
      </c>
      <c r="C35" s="11">
        <v>2019</v>
      </c>
      <c r="D35" s="1">
        <v>18</v>
      </c>
      <c r="E35" s="1" t="s">
        <v>463</v>
      </c>
    </row>
    <row r="36" spans="1:5">
      <c r="A36" s="1">
        <v>1893</v>
      </c>
      <c r="B36" s="5">
        <v>8020934</v>
      </c>
      <c r="C36" s="11">
        <v>2022</v>
      </c>
      <c r="D36" s="1">
        <v>18</v>
      </c>
      <c r="E36" s="1" t="s">
        <v>463</v>
      </c>
    </row>
    <row r="37" spans="1:5">
      <c r="A37" s="1">
        <v>1685</v>
      </c>
      <c r="B37" s="5">
        <v>8018388</v>
      </c>
      <c r="C37" s="11">
        <v>2018</v>
      </c>
      <c r="D37" s="1">
        <v>16</v>
      </c>
      <c r="E37" s="1" t="s">
        <v>463</v>
      </c>
    </row>
    <row r="38" spans="1:5">
      <c r="A38" s="1">
        <v>1883</v>
      </c>
      <c r="B38" s="5">
        <v>8018369</v>
      </c>
      <c r="C38" s="11">
        <v>2018</v>
      </c>
      <c r="D38" s="1">
        <v>18</v>
      </c>
      <c r="E38" s="1" t="s">
        <v>463</v>
      </c>
    </row>
    <row r="39" spans="1:5">
      <c r="A39" s="1">
        <v>2017</v>
      </c>
      <c r="B39" s="5">
        <v>8019126</v>
      </c>
      <c r="C39" s="11">
        <v>2019</v>
      </c>
      <c r="D39" s="1">
        <v>20</v>
      </c>
      <c r="E39" s="1" t="s">
        <v>463</v>
      </c>
    </row>
    <row r="40" spans="1:5">
      <c r="A40" s="1">
        <v>1935</v>
      </c>
      <c r="B40" s="5">
        <v>8019124</v>
      </c>
      <c r="C40" s="11">
        <v>2019</v>
      </c>
      <c r="D40" s="1">
        <v>19</v>
      </c>
      <c r="E40" s="1" t="s">
        <v>463</v>
      </c>
    </row>
    <row r="41" spans="1:5">
      <c r="A41" s="1">
        <v>1682</v>
      </c>
      <c r="B41" s="5">
        <v>8017979</v>
      </c>
      <c r="C41" s="11">
        <v>2017</v>
      </c>
      <c r="D41" s="1">
        <v>16</v>
      </c>
      <c r="E41" s="1" t="s">
        <v>463</v>
      </c>
    </row>
    <row r="42" spans="1:5">
      <c r="A42" s="1">
        <v>1252</v>
      </c>
      <c r="B42" s="5">
        <v>8021186</v>
      </c>
      <c r="C42" s="11">
        <v>2022</v>
      </c>
      <c r="D42" s="1">
        <v>12</v>
      </c>
      <c r="E42" s="1" t="s">
        <v>463</v>
      </c>
    </row>
    <row r="43" spans="1:5">
      <c r="A43" s="1">
        <v>1583</v>
      </c>
      <c r="B43" s="5">
        <v>8017180</v>
      </c>
      <c r="C43" s="11">
        <v>2015</v>
      </c>
      <c r="D43" s="1">
        <v>15</v>
      </c>
      <c r="E43" s="1" t="s">
        <v>463</v>
      </c>
    </row>
    <row r="44" spans="1:5">
      <c r="A44" s="1">
        <v>1113</v>
      </c>
      <c r="B44" s="5">
        <v>8020939</v>
      </c>
      <c r="C44" s="11">
        <v>2022</v>
      </c>
      <c r="D44" s="1">
        <v>11</v>
      </c>
      <c r="E44" s="1" t="s">
        <v>463</v>
      </c>
    </row>
    <row r="45" spans="1:5">
      <c r="A45" s="1">
        <v>1373</v>
      </c>
      <c r="B45" s="5">
        <v>8019090</v>
      </c>
      <c r="C45" s="11">
        <v>2019</v>
      </c>
      <c r="D45" s="1">
        <v>13</v>
      </c>
      <c r="E45" s="1" t="s">
        <v>463</v>
      </c>
    </row>
    <row r="46" spans="1:5">
      <c r="A46" s="1">
        <v>17108</v>
      </c>
      <c r="B46" s="5">
        <v>8017243</v>
      </c>
      <c r="C46" s="11">
        <v>2015</v>
      </c>
      <c r="D46" s="1">
        <v>17</v>
      </c>
      <c r="E46" s="1" t="s">
        <v>463</v>
      </c>
    </row>
    <row r="47" spans="1:5">
      <c r="A47" s="1">
        <v>15123</v>
      </c>
      <c r="B47" s="5">
        <v>8018510</v>
      </c>
      <c r="C47" s="11">
        <v>2018</v>
      </c>
      <c r="D47" s="1">
        <v>15</v>
      </c>
      <c r="E47" s="1" t="s">
        <v>463</v>
      </c>
    </row>
    <row r="48" spans="1:5">
      <c r="A48" s="1">
        <v>1470</v>
      </c>
      <c r="B48" s="5">
        <v>8019111</v>
      </c>
      <c r="C48" s="11">
        <v>2019</v>
      </c>
      <c r="D48" s="1">
        <v>14</v>
      </c>
      <c r="E48" s="1" t="s">
        <v>463</v>
      </c>
    </row>
    <row r="49" spans="1:5">
      <c r="A49" s="1" t="s">
        <v>58</v>
      </c>
      <c r="B49" s="5">
        <v>8017229</v>
      </c>
      <c r="C49" s="11">
        <v>2015</v>
      </c>
      <c r="D49" s="1">
        <v>21</v>
      </c>
      <c r="E49" s="1" t="s">
        <v>463</v>
      </c>
    </row>
    <row r="50" spans="1:5">
      <c r="A50" s="1">
        <v>1472</v>
      </c>
      <c r="B50" s="5">
        <v>8017961</v>
      </c>
      <c r="C50" s="11">
        <v>2017</v>
      </c>
      <c r="D50" s="1">
        <v>14</v>
      </c>
      <c r="E50" s="1" t="s">
        <v>463</v>
      </c>
    </row>
    <row r="51" spans="1:5">
      <c r="A51" s="1">
        <v>1486</v>
      </c>
      <c r="B51" s="5">
        <v>8019243</v>
      </c>
      <c r="C51" s="11">
        <v>2020</v>
      </c>
      <c r="D51" s="1">
        <v>14</v>
      </c>
      <c r="E51" s="1" t="s">
        <v>463</v>
      </c>
    </row>
    <row r="52" spans="1:5">
      <c r="A52" s="1">
        <v>16120</v>
      </c>
      <c r="B52" s="5">
        <v>8020832</v>
      </c>
      <c r="C52" s="11">
        <v>2022</v>
      </c>
      <c r="D52" s="1">
        <v>16</v>
      </c>
      <c r="E52" s="1" t="s">
        <v>463</v>
      </c>
    </row>
    <row r="53" spans="1:5">
      <c r="A53" s="1">
        <v>1491</v>
      </c>
      <c r="B53" s="5">
        <v>8019241</v>
      </c>
      <c r="C53" s="11">
        <v>2020</v>
      </c>
      <c r="D53" s="1">
        <v>14</v>
      </c>
      <c r="E53" s="1" t="s">
        <v>463</v>
      </c>
    </row>
    <row r="54" spans="1:5">
      <c r="A54" s="1">
        <v>1468</v>
      </c>
      <c r="B54" s="5">
        <v>8017959</v>
      </c>
      <c r="C54" s="11">
        <v>2017</v>
      </c>
      <c r="D54" s="1">
        <v>14</v>
      </c>
      <c r="E54" s="1" t="s">
        <v>463</v>
      </c>
    </row>
    <row r="55" spans="1:5">
      <c r="A55" s="1">
        <v>1952</v>
      </c>
      <c r="B55" s="5">
        <v>8020823</v>
      </c>
      <c r="C55" s="11">
        <v>2022</v>
      </c>
      <c r="D55" s="1">
        <v>19</v>
      </c>
      <c r="E55" s="1" t="s">
        <v>463</v>
      </c>
    </row>
    <row r="56" spans="1:5">
      <c r="A56" s="1">
        <v>1966</v>
      </c>
      <c r="B56" s="5">
        <v>8021544</v>
      </c>
      <c r="C56" s="11">
        <v>2022</v>
      </c>
      <c r="D56" s="1">
        <v>19</v>
      </c>
      <c r="E56" s="1" t="s">
        <v>463</v>
      </c>
    </row>
    <row r="57" spans="1:5">
      <c r="A57" s="1">
        <v>1477</v>
      </c>
      <c r="B57" s="5">
        <v>8019107</v>
      </c>
      <c r="C57" s="11">
        <v>2019</v>
      </c>
      <c r="D57" s="1">
        <v>14</v>
      </c>
      <c r="E57" s="1" t="s">
        <v>463</v>
      </c>
    </row>
    <row r="58" spans="1:5">
      <c r="A58" s="1">
        <v>1882</v>
      </c>
      <c r="B58" s="5">
        <v>8018811</v>
      </c>
      <c r="C58" s="11">
        <v>2019</v>
      </c>
      <c r="D58" s="1">
        <v>18</v>
      </c>
      <c r="E58" s="1" t="s">
        <v>463</v>
      </c>
    </row>
    <row r="59" spans="1:5">
      <c r="A59" s="1">
        <v>1485</v>
      </c>
      <c r="B59" s="5">
        <v>8019108</v>
      </c>
      <c r="C59" s="11">
        <v>2019</v>
      </c>
      <c r="D59" s="1">
        <v>14</v>
      </c>
      <c r="E59" s="1" t="s">
        <v>463</v>
      </c>
    </row>
    <row r="60" spans="1:5">
      <c r="A60" s="1">
        <v>1515</v>
      </c>
      <c r="B60" s="5">
        <v>8017963</v>
      </c>
      <c r="C60" s="11">
        <v>2017</v>
      </c>
      <c r="D60" s="1">
        <v>15</v>
      </c>
      <c r="E60" s="1" t="s">
        <v>463</v>
      </c>
    </row>
    <row r="61" spans="1:5">
      <c r="A61" s="1" t="s">
        <v>467</v>
      </c>
      <c r="B61" s="5">
        <v>8020933</v>
      </c>
      <c r="C61" s="11">
        <v>2022</v>
      </c>
      <c r="D61" s="1">
        <v>22</v>
      </c>
      <c r="E61" s="1" t="s">
        <v>463</v>
      </c>
    </row>
    <row r="62" spans="1:5">
      <c r="A62" s="1">
        <v>1586</v>
      </c>
      <c r="B62" s="5">
        <v>8018269</v>
      </c>
      <c r="C62" s="11">
        <v>2017</v>
      </c>
      <c r="D62" s="1">
        <v>15</v>
      </c>
      <c r="E62" s="1" t="s">
        <v>463</v>
      </c>
    </row>
    <row r="63" spans="1:5">
      <c r="A63" s="1">
        <v>1588</v>
      </c>
      <c r="B63" s="5">
        <v>8019092</v>
      </c>
      <c r="C63" s="11">
        <v>2019</v>
      </c>
      <c r="D63" s="1">
        <v>15</v>
      </c>
      <c r="E63" s="1" t="s">
        <v>463</v>
      </c>
    </row>
    <row r="64" spans="1:5">
      <c r="A64" s="1">
        <v>1683</v>
      </c>
      <c r="B64" s="5">
        <v>8019117</v>
      </c>
      <c r="C64" s="11">
        <v>2019</v>
      </c>
      <c r="D64" s="1">
        <v>16</v>
      </c>
      <c r="E64" s="1" t="s">
        <v>463</v>
      </c>
    </row>
    <row r="65" spans="1:5">
      <c r="A65" s="1">
        <v>16123</v>
      </c>
      <c r="B65" s="5">
        <v>8021172</v>
      </c>
      <c r="C65" s="11">
        <v>2022</v>
      </c>
      <c r="D65" s="1">
        <v>16</v>
      </c>
      <c r="E65" s="1" t="s">
        <v>463</v>
      </c>
    </row>
    <row r="66" spans="1:5">
      <c r="A66" s="1">
        <v>16122</v>
      </c>
      <c r="B66" s="5">
        <v>8021171</v>
      </c>
      <c r="C66" s="11">
        <v>2022</v>
      </c>
      <c r="D66" s="1">
        <v>16</v>
      </c>
      <c r="E66" s="1" t="s">
        <v>463</v>
      </c>
    </row>
    <row r="67" spans="1:5">
      <c r="A67" s="1">
        <v>1689</v>
      </c>
      <c r="B67" s="5">
        <v>8019094</v>
      </c>
      <c r="C67" s="11">
        <v>2019</v>
      </c>
      <c r="D67" s="1">
        <v>16</v>
      </c>
      <c r="E67" s="1" t="s">
        <v>463</v>
      </c>
    </row>
    <row r="68" spans="1:5">
      <c r="A68" s="1">
        <v>17119</v>
      </c>
      <c r="B68" s="5">
        <v>8018365</v>
      </c>
      <c r="C68" s="11">
        <v>2018</v>
      </c>
      <c r="D68" s="1">
        <v>17</v>
      </c>
      <c r="E68" s="1" t="s">
        <v>463</v>
      </c>
    </row>
    <row r="69" spans="1:5">
      <c r="A69" s="1">
        <v>1587</v>
      </c>
      <c r="B69" s="5">
        <v>8017226</v>
      </c>
      <c r="C69" s="11">
        <v>2015</v>
      </c>
      <c r="D69" s="1">
        <v>15</v>
      </c>
      <c r="E69" s="1" t="s">
        <v>463</v>
      </c>
    </row>
    <row r="70" spans="1:5">
      <c r="A70" s="1">
        <v>1863</v>
      </c>
      <c r="B70" s="5">
        <v>8019093</v>
      </c>
      <c r="C70" s="11">
        <v>2019</v>
      </c>
      <c r="D70" s="1">
        <v>18</v>
      </c>
      <c r="E70" s="1" t="s">
        <v>463</v>
      </c>
    </row>
    <row r="71" spans="1:5">
      <c r="A71" s="1">
        <v>15124</v>
      </c>
      <c r="B71" s="5">
        <v>8018413</v>
      </c>
      <c r="C71" s="11">
        <v>2018</v>
      </c>
      <c r="D71" s="1">
        <v>15</v>
      </c>
      <c r="E71" s="1" t="s">
        <v>463</v>
      </c>
    </row>
    <row r="72" spans="1:5">
      <c r="A72" s="1">
        <v>1782</v>
      </c>
      <c r="B72" s="5">
        <v>8017252</v>
      </c>
      <c r="C72" s="11">
        <v>2015</v>
      </c>
      <c r="D72" s="1">
        <v>17</v>
      </c>
      <c r="E72" s="1" t="s">
        <v>463</v>
      </c>
    </row>
    <row r="73" spans="1:5">
      <c r="A73" s="1">
        <v>1688</v>
      </c>
      <c r="B73" s="5">
        <v>8019116</v>
      </c>
      <c r="C73" s="11">
        <v>2019</v>
      </c>
      <c r="D73" s="1">
        <v>16</v>
      </c>
      <c r="E73" s="1" t="s">
        <v>463</v>
      </c>
    </row>
    <row r="74" spans="1:5">
      <c r="A74" s="1">
        <v>1891</v>
      </c>
      <c r="B74" s="5">
        <v>8020980</v>
      </c>
      <c r="C74" s="11">
        <v>2022</v>
      </c>
      <c r="D74" s="1">
        <v>18</v>
      </c>
      <c r="E74" s="1" t="s">
        <v>463</v>
      </c>
    </row>
    <row r="75" spans="1:5">
      <c r="A75" s="1">
        <v>1108</v>
      </c>
      <c r="B75" s="5">
        <v>8019014</v>
      </c>
      <c r="C75" s="11">
        <v>2019</v>
      </c>
      <c r="D75" s="1">
        <v>11</v>
      </c>
      <c r="E75" s="1" t="s">
        <v>463</v>
      </c>
    </row>
    <row r="76" spans="1:5">
      <c r="A76" s="1">
        <v>1374</v>
      </c>
      <c r="B76" s="5">
        <v>8019101</v>
      </c>
      <c r="C76" s="11">
        <v>2019</v>
      </c>
      <c r="D76" s="1">
        <v>13</v>
      </c>
      <c r="E76" s="1" t="s">
        <v>463</v>
      </c>
    </row>
    <row r="77" spans="1:5">
      <c r="A77" s="1">
        <v>1240</v>
      </c>
      <c r="B77" s="5">
        <v>8019250</v>
      </c>
      <c r="C77" s="11">
        <v>2020</v>
      </c>
      <c r="D77" s="1">
        <v>12</v>
      </c>
      <c r="E77" s="1" t="s">
        <v>463</v>
      </c>
    </row>
    <row r="78" spans="1:5">
      <c r="A78" s="1">
        <v>1781</v>
      </c>
      <c r="B78" s="5">
        <v>8017253</v>
      </c>
      <c r="C78" s="11">
        <v>2015</v>
      </c>
      <c r="D78" s="1">
        <v>17</v>
      </c>
      <c r="E78" s="1" t="s">
        <v>463</v>
      </c>
    </row>
    <row r="79" spans="1:5">
      <c r="A79" s="1">
        <v>1376</v>
      </c>
      <c r="B79" s="5">
        <v>8019103</v>
      </c>
      <c r="C79" s="11">
        <v>2019</v>
      </c>
      <c r="D79" s="1">
        <v>13</v>
      </c>
      <c r="E79" s="1" t="s">
        <v>463</v>
      </c>
    </row>
    <row r="80" spans="1:5">
      <c r="A80" s="1">
        <v>2018</v>
      </c>
      <c r="B80" s="5">
        <v>8019128</v>
      </c>
      <c r="C80" s="11">
        <v>2019</v>
      </c>
      <c r="D80" s="1">
        <v>20</v>
      </c>
      <c r="E80" s="1" t="s">
        <v>463</v>
      </c>
    </row>
    <row r="81" spans="1:5">
      <c r="A81" s="1">
        <v>1694</v>
      </c>
      <c r="B81" s="5">
        <v>8017988</v>
      </c>
      <c r="C81" s="11">
        <v>2017</v>
      </c>
      <c r="D81" s="1">
        <v>16</v>
      </c>
      <c r="E81" s="1" t="s">
        <v>463</v>
      </c>
    </row>
    <row r="82" spans="1:5">
      <c r="A82" s="1">
        <v>1580</v>
      </c>
      <c r="B82" s="5">
        <v>8017964</v>
      </c>
      <c r="C82" s="11">
        <v>2017</v>
      </c>
      <c r="D82" s="1">
        <v>15</v>
      </c>
      <c r="E82" s="1" t="s">
        <v>463</v>
      </c>
    </row>
    <row r="83" spans="1:5">
      <c r="A83" s="1">
        <v>13107</v>
      </c>
      <c r="B83" s="5">
        <v>8021023</v>
      </c>
      <c r="C83" s="11">
        <v>2022</v>
      </c>
      <c r="D83" s="1">
        <v>13</v>
      </c>
      <c r="E83" s="1" t="s">
        <v>463</v>
      </c>
    </row>
    <row r="84" spans="1:5">
      <c r="A84" s="1">
        <v>1469</v>
      </c>
      <c r="B84" s="5">
        <v>8019112</v>
      </c>
      <c r="C84" s="11">
        <v>2019</v>
      </c>
      <c r="D84" s="1">
        <v>14</v>
      </c>
      <c r="E84" s="1" t="s">
        <v>463</v>
      </c>
    </row>
    <row r="85" spans="1:5">
      <c r="A85" s="1">
        <v>2103</v>
      </c>
      <c r="B85" s="5">
        <v>8017241</v>
      </c>
      <c r="C85" s="11">
        <v>2015</v>
      </c>
      <c r="D85" s="1">
        <v>21</v>
      </c>
      <c r="E85" s="1" t="s">
        <v>463</v>
      </c>
    </row>
    <row r="86" spans="1:5">
      <c r="A86" s="1">
        <v>1255</v>
      </c>
      <c r="B86" s="5">
        <v>8021530</v>
      </c>
      <c r="C86" s="11">
        <v>2022</v>
      </c>
      <c r="D86" s="1">
        <v>12</v>
      </c>
      <c r="E86" s="1" t="s">
        <v>463</v>
      </c>
    </row>
    <row r="87" spans="1:5">
      <c r="A87" s="1">
        <v>1897</v>
      </c>
      <c r="B87" s="5">
        <v>8020965</v>
      </c>
      <c r="C87" s="11">
        <v>2022</v>
      </c>
      <c r="D87" s="1">
        <v>18</v>
      </c>
      <c r="E87" s="1" t="s">
        <v>463</v>
      </c>
    </row>
    <row r="88" spans="1:5">
      <c r="A88" s="1">
        <v>1487</v>
      </c>
      <c r="B88" s="5">
        <v>8019244</v>
      </c>
      <c r="C88" s="11">
        <v>2020</v>
      </c>
      <c r="D88" s="1">
        <v>14</v>
      </c>
      <c r="E88" s="1" t="s">
        <v>463</v>
      </c>
    </row>
    <row r="89" spans="1:5">
      <c r="A89" s="1">
        <v>1488</v>
      </c>
      <c r="B89" s="5">
        <v>8019242</v>
      </c>
      <c r="C89" s="11">
        <v>2020</v>
      </c>
      <c r="D89" s="1">
        <v>14</v>
      </c>
      <c r="E89" s="1" t="s">
        <v>463</v>
      </c>
    </row>
    <row r="90" spans="1:5">
      <c r="A90" s="1">
        <v>15118</v>
      </c>
      <c r="B90" s="5">
        <v>8019257</v>
      </c>
      <c r="C90" s="11">
        <v>2020</v>
      </c>
      <c r="D90" s="1">
        <v>15</v>
      </c>
      <c r="E90" s="1" t="s">
        <v>463</v>
      </c>
    </row>
    <row r="91" spans="1:5">
      <c r="A91" s="1">
        <v>15119</v>
      </c>
      <c r="B91" s="5">
        <v>8019256</v>
      </c>
      <c r="C91" s="11">
        <v>2020</v>
      </c>
      <c r="D91" s="1">
        <v>15</v>
      </c>
      <c r="E91" s="1" t="s">
        <v>463</v>
      </c>
    </row>
    <row r="92" spans="1:5">
      <c r="A92" s="1">
        <v>1870</v>
      </c>
      <c r="B92" s="5">
        <v>8017968</v>
      </c>
      <c r="C92" s="11">
        <v>2017</v>
      </c>
      <c r="D92" s="1">
        <v>18</v>
      </c>
      <c r="E92" s="1" t="s">
        <v>463</v>
      </c>
    </row>
    <row r="93" spans="1:5">
      <c r="A93" s="1">
        <v>1937</v>
      </c>
      <c r="B93" s="5">
        <v>8018383</v>
      </c>
      <c r="C93" s="11">
        <v>2018</v>
      </c>
      <c r="D93" s="1">
        <v>19</v>
      </c>
      <c r="E93" s="1" t="s">
        <v>463</v>
      </c>
    </row>
    <row r="94" spans="1:5">
      <c r="A94" s="1">
        <v>1109</v>
      </c>
      <c r="B94" s="5">
        <v>8018173</v>
      </c>
      <c r="C94" s="11">
        <v>2017</v>
      </c>
      <c r="D94" s="1">
        <v>11</v>
      </c>
      <c r="E94" s="1" t="s">
        <v>463</v>
      </c>
    </row>
    <row r="95" spans="1:5">
      <c r="A95" s="1">
        <v>1256</v>
      </c>
      <c r="B95" s="5">
        <v>8021529</v>
      </c>
      <c r="C95" s="11">
        <v>2022</v>
      </c>
      <c r="D95" s="1">
        <v>12</v>
      </c>
      <c r="E95" s="1" t="s">
        <v>463</v>
      </c>
    </row>
    <row r="96" spans="1:5">
      <c r="A96" s="1">
        <v>15120</v>
      </c>
      <c r="B96" s="5">
        <v>8019259</v>
      </c>
      <c r="C96" s="11">
        <v>2020</v>
      </c>
      <c r="D96" s="1">
        <v>15</v>
      </c>
      <c r="E96" s="1" t="s">
        <v>463</v>
      </c>
    </row>
    <row r="97" spans="1:5">
      <c r="A97" s="1">
        <v>15121</v>
      </c>
      <c r="B97" s="5">
        <v>8019258</v>
      </c>
      <c r="C97" s="11">
        <v>2020</v>
      </c>
      <c r="D97" s="1">
        <v>15</v>
      </c>
      <c r="E97" s="1" t="s">
        <v>463</v>
      </c>
    </row>
    <row r="98" spans="1:5">
      <c r="A98" s="1">
        <v>17137</v>
      </c>
      <c r="B98" s="5">
        <v>8020822</v>
      </c>
      <c r="C98" s="11">
        <v>2022</v>
      </c>
      <c r="D98" s="1">
        <v>17</v>
      </c>
      <c r="E98" s="1" t="s">
        <v>463</v>
      </c>
    </row>
    <row r="99" spans="1:5">
      <c r="A99" s="1">
        <v>17136</v>
      </c>
      <c r="B99" s="5">
        <v>8017251</v>
      </c>
      <c r="C99" s="11">
        <v>2015</v>
      </c>
      <c r="D99" s="1">
        <v>17</v>
      </c>
      <c r="E99" s="1" t="s">
        <v>463</v>
      </c>
    </row>
    <row r="100" spans="1:5">
      <c r="A100" s="1">
        <v>1261</v>
      </c>
      <c r="B100" s="5" t="s">
        <v>229</v>
      </c>
      <c r="C100" s="11">
        <v>2017</v>
      </c>
      <c r="D100" s="1">
        <v>12</v>
      </c>
      <c r="E100" s="1" t="s">
        <v>463</v>
      </c>
    </row>
    <row r="101" spans="1:5">
      <c r="A101" s="1">
        <v>13108</v>
      </c>
      <c r="B101" s="5">
        <v>8021532</v>
      </c>
      <c r="C101" s="11">
        <v>2022</v>
      </c>
      <c r="D101" s="1">
        <v>13</v>
      </c>
      <c r="E101" s="1" t="s">
        <v>463</v>
      </c>
    </row>
    <row r="102" spans="1:5">
      <c r="A102" s="1">
        <v>1377</v>
      </c>
      <c r="B102" s="5">
        <v>8018974</v>
      </c>
      <c r="C102" s="11">
        <v>2019</v>
      </c>
      <c r="D102" s="1">
        <v>13</v>
      </c>
      <c r="E102" s="1" t="s">
        <v>463</v>
      </c>
    </row>
    <row r="103" spans="1:5">
      <c r="A103" s="1">
        <v>1253</v>
      </c>
      <c r="B103" s="5">
        <v>8021185</v>
      </c>
      <c r="C103" s="11">
        <v>2022</v>
      </c>
      <c r="D103" s="1">
        <v>12</v>
      </c>
      <c r="E103" s="1" t="s">
        <v>463</v>
      </c>
    </row>
    <row r="104" spans="1:5">
      <c r="A104" s="1">
        <v>1383</v>
      </c>
      <c r="B104" s="5">
        <v>8019236</v>
      </c>
      <c r="C104" s="11">
        <v>2020</v>
      </c>
      <c r="D104" s="1">
        <v>13</v>
      </c>
      <c r="E104" s="1" t="s">
        <v>463</v>
      </c>
    </row>
    <row r="105" spans="1:5">
      <c r="A105" s="1">
        <v>1696</v>
      </c>
      <c r="B105" s="5">
        <v>8019253</v>
      </c>
      <c r="C105" s="11">
        <v>2020</v>
      </c>
      <c r="D105" s="1">
        <v>16</v>
      </c>
      <c r="E105" s="1" t="s">
        <v>463</v>
      </c>
    </row>
    <row r="106" spans="1:5">
      <c r="A106" s="1">
        <v>1697</v>
      </c>
      <c r="B106" s="5">
        <v>8019252</v>
      </c>
      <c r="C106" s="11">
        <v>2020</v>
      </c>
      <c r="D106" s="1">
        <v>16</v>
      </c>
      <c r="E106" s="1" t="s">
        <v>463</v>
      </c>
    </row>
    <row r="107" spans="1:5">
      <c r="A107" s="1">
        <v>1384</v>
      </c>
      <c r="B107" s="5">
        <v>8020931</v>
      </c>
      <c r="C107" s="11">
        <v>2022</v>
      </c>
      <c r="D107" s="1">
        <v>13</v>
      </c>
      <c r="E107" s="1" t="s">
        <v>463</v>
      </c>
    </row>
    <row r="108" spans="1:5">
      <c r="A108" s="1">
        <v>2030</v>
      </c>
      <c r="B108" s="5">
        <v>8020972</v>
      </c>
      <c r="C108" s="11">
        <v>2022</v>
      </c>
      <c r="D108" s="1">
        <v>20</v>
      </c>
      <c r="E108" s="1" t="s">
        <v>463</v>
      </c>
    </row>
    <row r="109" spans="1:5">
      <c r="A109" s="1">
        <v>16121</v>
      </c>
      <c r="B109" s="5">
        <v>8020821</v>
      </c>
      <c r="C109" s="11">
        <v>2022</v>
      </c>
      <c r="D109" s="1">
        <v>16</v>
      </c>
      <c r="E109" s="1" t="s">
        <v>463</v>
      </c>
    </row>
    <row r="110" spans="1:5">
      <c r="A110" s="1">
        <v>1936</v>
      </c>
      <c r="B110" s="5">
        <v>8018382</v>
      </c>
      <c r="C110" s="11">
        <v>2018</v>
      </c>
      <c r="D110" s="1">
        <v>19</v>
      </c>
      <c r="E110" s="1" t="s">
        <v>463</v>
      </c>
    </row>
    <row r="111" spans="1:5">
      <c r="A111" s="1">
        <v>1375</v>
      </c>
      <c r="B111" s="5">
        <v>8019102</v>
      </c>
      <c r="C111" s="11">
        <v>2019</v>
      </c>
      <c r="D111" s="1">
        <v>13</v>
      </c>
      <c r="E111" s="1" t="s">
        <v>463</v>
      </c>
    </row>
    <row r="112" spans="1:5">
      <c r="A112" s="1">
        <v>2037</v>
      </c>
      <c r="B112" s="5">
        <v>8021546</v>
      </c>
      <c r="C112" s="11">
        <v>2022</v>
      </c>
      <c r="D112" s="1">
        <v>20</v>
      </c>
      <c r="E112" s="1" t="s">
        <v>463</v>
      </c>
    </row>
    <row r="113" spans="1:5">
      <c r="A113" s="1">
        <v>2036</v>
      </c>
      <c r="B113" s="5">
        <v>8017209</v>
      </c>
      <c r="C113" s="11">
        <v>2022</v>
      </c>
      <c r="D113" s="1">
        <v>20</v>
      </c>
      <c r="E113" s="1" t="s">
        <v>463</v>
      </c>
    </row>
    <row r="114" spans="1:5">
      <c r="A114" s="1">
        <v>2035</v>
      </c>
      <c r="B114" s="5">
        <v>8021550</v>
      </c>
      <c r="C114" s="11">
        <v>2022</v>
      </c>
      <c r="D114" s="1">
        <v>20</v>
      </c>
      <c r="E114" s="1" t="s">
        <v>463</v>
      </c>
    </row>
    <row r="115" spans="1:5">
      <c r="A115" s="1">
        <v>2034</v>
      </c>
      <c r="B115" s="5">
        <v>8021545</v>
      </c>
      <c r="C115" s="11">
        <v>2022</v>
      </c>
      <c r="D115" s="1">
        <v>20</v>
      </c>
      <c r="E115" s="1" t="s">
        <v>463</v>
      </c>
    </row>
    <row r="116" spans="1:5">
      <c r="A116" s="1">
        <v>1953</v>
      </c>
      <c r="B116" s="5">
        <v>8020960</v>
      </c>
      <c r="C116" s="11">
        <v>2022</v>
      </c>
      <c r="D116" s="1">
        <v>19</v>
      </c>
      <c r="E116" s="1" t="s">
        <v>463</v>
      </c>
    </row>
    <row r="117" spans="1:5">
      <c r="A117" s="1">
        <v>1941</v>
      </c>
      <c r="B117" s="5">
        <v>8017980</v>
      </c>
      <c r="C117" s="11">
        <v>2017</v>
      </c>
      <c r="D117" s="1">
        <v>19</v>
      </c>
      <c r="E117" s="1" t="s">
        <v>463</v>
      </c>
    </row>
    <row r="118" spans="1:5">
      <c r="A118" s="1">
        <v>1257</v>
      </c>
      <c r="B118" s="5">
        <v>8021528</v>
      </c>
      <c r="C118" s="11">
        <v>2022</v>
      </c>
      <c r="D118" s="1">
        <v>12</v>
      </c>
      <c r="E118" s="1" t="s">
        <v>463</v>
      </c>
    </row>
    <row r="119" spans="1:5">
      <c r="A119" s="1">
        <v>1876</v>
      </c>
      <c r="B119" s="5">
        <v>8021549</v>
      </c>
      <c r="C119" s="11">
        <v>2015</v>
      </c>
      <c r="D119" s="1">
        <v>18</v>
      </c>
      <c r="E119" s="1" t="s">
        <v>463</v>
      </c>
    </row>
    <row r="120" spans="1:5">
      <c r="A120" s="1">
        <v>1395</v>
      </c>
      <c r="B120" s="5">
        <v>8020967</v>
      </c>
      <c r="C120" s="11">
        <v>2022</v>
      </c>
      <c r="D120" s="1">
        <v>13</v>
      </c>
      <c r="E120" s="1" t="s">
        <v>463</v>
      </c>
    </row>
    <row r="121" spans="1:5">
      <c r="A121" s="1">
        <v>1684</v>
      </c>
      <c r="B121" s="5">
        <v>8017220</v>
      </c>
      <c r="C121" s="11">
        <v>2015</v>
      </c>
      <c r="D121" s="1">
        <v>16</v>
      </c>
      <c r="E121" s="1" t="s">
        <v>463</v>
      </c>
    </row>
    <row r="122" spans="1:5">
      <c r="A122" s="1">
        <v>17132</v>
      </c>
      <c r="B122" s="5">
        <v>8020825</v>
      </c>
      <c r="C122" s="11">
        <v>2022</v>
      </c>
      <c r="D122" s="1">
        <v>17</v>
      </c>
      <c r="E122" s="1" t="s">
        <v>463</v>
      </c>
    </row>
    <row r="123" spans="1:5">
      <c r="A123" s="1">
        <v>2039</v>
      </c>
      <c r="B123" s="5">
        <v>8021548</v>
      </c>
      <c r="C123" s="11">
        <v>2022</v>
      </c>
      <c r="D123" s="1">
        <v>20</v>
      </c>
      <c r="E123" s="1" t="s">
        <v>463</v>
      </c>
    </row>
    <row r="124" spans="1:5">
      <c r="A124" s="1">
        <v>17133</v>
      </c>
      <c r="B124" s="5">
        <v>8020961</v>
      </c>
      <c r="C124" s="11">
        <v>2022</v>
      </c>
      <c r="D124" s="1">
        <v>17</v>
      </c>
      <c r="E124" s="1" t="s">
        <v>463</v>
      </c>
    </row>
    <row r="125" spans="1:5">
      <c r="A125" s="1">
        <v>1894</v>
      </c>
      <c r="B125" s="5">
        <v>8020931</v>
      </c>
      <c r="C125" s="11">
        <v>2022</v>
      </c>
      <c r="D125" s="1">
        <v>18</v>
      </c>
      <c r="E125" s="1" t="s">
        <v>463</v>
      </c>
    </row>
    <row r="126" spans="1:5">
      <c r="A126" s="1">
        <v>17130</v>
      </c>
      <c r="B126" s="5">
        <v>8020824</v>
      </c>
      <c r="C126" s="11">
        <v>2022</v>
      </c>
      <c r="D126" s="1">
        <v>17</v>
      </c>
      <c r="E126" s="1" t="s">
        <v>463</v>
      </c>
    </row>
    <row r="127" spans="1:5">
      <c r="A127" s="1">
        <v>16102</v>
      </c>
      <c r="B127" s="5">
        <v>8017236</v>
      </c>
      <c r="C127" s="11">
        <v>2015</v>
      </c>
      <c r="D127" s="1">
        <v>16</v>
      </c>
      <c r="E127" s="1" t="s">
        <v>463</v>
      </c>
    </row>
    <row r="128" spans="1:5">
      <c r="A128" s="1">
        <v>16118</v>
      </c>
      <c r="B128" s="5">
        <v>8020834</v>
      </c>
      <c r="C128" s="11">
        <v>2022</v>
      </c>
      <c r="D128" s="1">
        <v>16</v>
      </c>
      <c r="E128" s="1" t="s">
        <v>463</v>
      </c>
    </row>
    <row r="129" spans="1:5">
      <c r="A129" s="1">
        <v>1954</v>
      </c>
      <c r="B129" s="5">
        <v>8020959</v>
      </c>
      <c r="C129" s="11">
        <v>2022</v>
      </c>
      <c r="D129" s="1">
        <v>19</v>
      </c>
      <c r="E129" s="1" t="s">
        <v>463</v>
      </c>
    </row>
    <row r="130" spans="1:5">
      <c r="A130" s="1">
        <v>16119</v>
      </c>
      <c r="B130" s="5">
        <v>8020833</v>
      </c>
      <c r="C130" s="11">
        <v>2022</v>
      </c>
      <c r="D130" s="1">
        <v>16</v>
      </c>
      <c r="E130" s="1" t="s">
        <v>463</v>
      </c>
    </row>
    <row r="131" spans="1:5">
      <c r="A131" s="1">
        <v>1890</v>
      </c>
      <c r="B131" s="5">
        <v>8020966</v>
      </c>
      <c r="C131" s="11">
        <v>2022</v>
      </c>
      <c r="D131" s="1">
        <v>18</v>
      </c>
      <c r="E131" s="1" t="s">
        <v>463</v>
      </c>
    </row>
    <row r="132" spans="1:5">
      <c r="A132" s="1">
        <v>1895</v>
      </c>
      <c r="B132" s="5">
        <v>8020955</v>
      </c>
      <c r="C132" s="11">
        <v>2022</v>
      </c>
      <c r="D132" s="1">
        <v>18</v>
      </c>
      <c r="E132" s="1" t="s">
        <v>463</v>
      </c>
    </row>
    <row r="133" spans="1:5">
      <c r="A133" s="1">
        <v>1892</v>
      </c>
      <c r="B133" s="5">
        <v>8020979</v>
      </c>
      <c r="C133" s="11">
        <v>2022</v>
      </c>
      <c r="D133" s="1">
        <v>18</v>
      </c>
      <c r="E133" s="1" t="s">
        <v>463</v>
      </c>
    </row>
    <row r="134" spans="1:5">
      <c r="A134" s="1">
        <v>17129</v>
      </c>
      <c r="B134" s="5">
        <v>8020962</v>
      </c>
      <c r="C134" s="11">
        <v>2022</v>
      </c>
      <c r="D134" s="1">
        <v>17</v>
      </c>
      <c r="E134" s="1" t="s">
        <v>463</v>
      </c>
    </row>
    <row r="135" spans="1:5">
      <c r="A135" s="1">
        <v>17134</v>
      </c>
      <c r="B135" s="5">
        <v>8020956</v>
      </c>
      <c r="C135" s="11">
        <v>2022</v>
      </c>
      <c r="D135" s="1">
        <v>17</v>
      </c>
      <c r="E135" s="1" t="s">
        <v>463</v>
      </c>
    </row>
    <row r="136" spans="1:5">
      <c r="A136" s="1">
        <v>17135</v>
      </c>
      <c r="B136" s="5">
        <v>8020957</v>
      </c>
      <c r="C136" s="11">
        <v>2022</v>
      </c>
      <c r="D136" s="1">
        <v>17</v>
      </c>
      <c r="E136" s="1" t="s">
        <v>463</v>
      </c>
    </row>
    <row r="137" spans="1:5">
      <c r="A137" s="1">
        <v>1889</v>
      </c>
      <c r="B137" s="5">
        <v>8020964</v>
      </c>
      <c r="C137" s="11">
        <v>2022</v>
      </c>
      <c r="D137" s="1">
        <v>18</v>
      </c>
      <c r="E137" s="1" t="s">
        <v>463</v>
      </c>
    </row>
    <row r="138" spans="1:5">
      <c r="A138" s="1">
        <v>1686</v>
      </c>
      <c r="B138" s="5">
        <v>8018389</v>
      </c>
      <c r="C138" s="11">
        <v>2018</v>
      </c>
      <c r="D138" s="1">
        <v>16</v>
      </c>
      <c r="E138" s="1" t="s">
        <v>463</v>
      </c>
    </row>
    <row r="139" spans="1:5">
      <c r="A139" s="1" t="s">
        <v>468</v>
      </c>
      <c r="B139" s="5">
        <v>8021022</v>
      </c>
      <c r="C139" s="11">
        <v>2022</v>
      </c>
      <c r="D139" s="1">
        <v>21</v>
      </c>
      <c r="E139" s="1" t="s">
        <v>469</v>
      </c>
    </row>
    <row r="140" spans="1:5">
      <c r="A140" s="1">
        <v>1938</v>
      </c>
      <c r="B140" s="5">
        <v>8018157</v>
      </c>
      <c r="C140" s="11">
        <v>2017</v>
      </c>
      <c r="D140" s="1">
        <v>19</v>
      </c>
      <c r="E140" s="1" t="s">
        <v>463</v>
      </c>
    </row>
    <row r="141" spans="1:5">
      <c r="A141" s="1">
        <v>16101</v>
      </c>
      <c r="B141" s="5">
        <v>8017235</v>
      </c>
      <c r="C141" s="11">
        <v>2015</v>
      </c>
      <c r="D141" s="1">
        <v>16</v>
      </c>
      <c r="E141" s="1" t="s">
        <v>463</v>
      </c>
    </row>
    <row r="142" spans="1:5">
      <c r="A142" s="1">
        <v>2114</v>
      </c>
      <c r="B142" s="5">
        <v>8017434</v>
      </c>
      <c r="C142" s="11">
        <v>2015</v>
      </c>
      <c r="D142" s="1">
        <v>21</v>
      </c>
      <c r="E142" s="1" t="s">
        <v>463</v>
      </c>
    </row>
    <row r="143" spans="1:5">
      <c r="A143" s="1">
        <v>1786</v>
      </c>
      <c r="B143" s="5">
        <v>8017967</v>
      </c>
      <c r="C143" s="11">
        <v>2017</v>
      </c>
      <c r="D143" s="1">
        <v>17</v>
      </c>
      <c r="E143" s="1" t="s">
        <v>463</v>
      </c>
    </row>
    <row r="144" spans="1:5">
      <c r="A144" s="1">
        <v>15125</v>
      </c>
      <c r="B144" s="5">
        <v>8018708</v>
      </c>
      <c r="C144" s="11">
        <v>2018</v>
      </c>
      <c r="D144" s="1">
        <v>15</v>
      </c>
      <c r="E144" s="1" t="s">
        <v>463</v>
      </c>
    </row>
    <row r="145" spans="1:5">
      <c r="A145" s="1" t="s">
        <v>470</v>
      </c>
      <c r="B145" s="5">
        <v>8016485</v>
      </c>
      <c r="C145" s="11">
        <v>2014</v>
      </c>
      <c r="D145" s="1">
        <v>16</v>
      </c>
      <c r="E145" s="1" t="s">
        <v>471</v>
      </c>
    </row>
    <row r="146" spans="1:5">
      <c r="A146" s="1">
        <v>1495</v>
      </c>
      <c r="B146" s="5">
        <v>8015912</v>
      </c>
      <c r="C146" s="11">
        <v>2013</v>
      </c>
      <c r="D146" s="1">
        <v>14</v>
      </c>
      <c r="E146" s="1" t="s">
        <v>464</v>
      </c>
    </row>
    <row r="147" spans="1:5">
      <c r="A147" s="1">
        <v>17122</v>
      </c>
      <c r="B147" s="5">
        <v>8015605</v>
      </c>
      <c r="C147" s="11">
        <v>2013</v>
      </c>
      <c r="D147" s="1">
        <v>17</v>
      </c>
      <c r="E147" s="1" t="s">
        <v>464</v>
      </c>
    </row>
    <row r="148" spans="1:5">
      <c r="A148" s="1">
        <v>1250</v>
      </c>
      <c r="B148" s="5">
        <v>8013376</v>
      </c>
      <c r="C148" s="11">
        <v>2010</v>
      </c>
      <c r="D148" s="1">
        <v>12</v>
      </c>
      <c r="E148" s="1" t="s">
        <v>464</v>
      </c>
    </row>
    <row r="149" spans="1:5">
      <c r="A149" s="1">
        <v>17121</v>
      </c>
      <c r="B149" s="5">
        <v>8009105</v>
      </c>
      <c r="C149" s="11">
        <v>2005</v>
      </c>
      <c r="D149" s="1">
        <v>17</v>
      </c>
      <c r="E149" s="1" t="s">
        <v>465</v>
      </c>
    </row>
    <row r="150" spans="1:5">
      <c r="A150" s="1">
        <v>1948</v>
      </c>
      <c r="B150" s="5" t="s">
        <v>99</v>
      </c>
      <c r="C150" s="11">
        <v>2013</v>
      </c>
      <c r="D150" s="1">
        <v>19</v>
      </c>
      <c r="E150" s="1" t="s">
        <v>464</v>
      </c>
    </row>
    <row r="151" spans="1:5">
      <c r="A151" s="1">
        <v>2027</v>
      </c>
      <c r="B151" s="5">
        <v>8016046</v>
      </c>
      <c r="C151" s="11">
        <v>2013</v>
      </c>
      <c r="D151" s="1">
        <v>20</v>
      </c>
      <c r="E151" s="1" t="s">
        <v>464</v>
      </c>
    </row>
    <row r="152" spans="1:5">
      <c r="A152" s="1">
        <v>1888</v>
      </c>
      <c r="B152" s="5">
        <v>8017110</v>
      </c>
      <c r="C152" s="11">
        <v>2015</v>
      </c>
      <c r="D152" s="1">
        <v>18</v>
      </c>
      <c r="E152" s="1" t="s">
        <v>464</v>
      </c>
    </row>
    <row r="153" spans="1:5">
      <c r="A153" s="1">
        <v>15138</v>
      </c>
      <c r="B153" s="5">
        <v>8013487</v>
      </c>
      <c r="C153" s="11">
        <v>2010</v>
      </c>
      <c r="D153" s="1">
        <v>15</v>
      </c>
      <c r="E153" s="1" t="s">
        <v>464</v>
      </c>
    </row>
    <row r="154" spans="1:5">
      <c r="A154" s="1">
        <v>16112</v>
      </c>
      <c r="B154" s="5">
        <v>8015602</v>
      </c>
      <c r="C154" s="11">
        <v>2013</v>
      </c>
      <c r="D154" s="1">
        <v>16</v>
      </c>
      <c r="E154" s="1" t="s">
        <v>464</v>
      </c>
    </row>
    <row r="155" spans="1:5">
      <c r="A155" s="1">
        <v>1949</v>
      </c>
      <c r="B155" s="5">
        <v>8017120</v>
      </c>
      <c r="C155" s="11">
        <v>2015</v>
      </c>
      <c r="D155" s="1">
        <v>19</v>
      </c>
      <c r="E155" s="1" t="s">
        <v>464</v>
      </c>
    </row>
    <row r="156" spans="1:5">
      <c r="A156" s="1">
        <v>1249</v>
      </c>
      <c r="B156" s="5">
        <v>8014332</v>
      </c>
      <c r="C156" s="11">
        <v>2011</v>
      </c>
      <c r="D156" s="1">
        <v>12</v>
      </c>
      <c r="E156" s="1" t="s">
        <v>464</v>
      </c>
    </row>
    <row r="157" spans="1:5">
      <c r="A157" s="1">
        <v>16113</v>
      </c>
      <c r="B157" s="5">
        <v>8015275</v>
      </c>
      <c r="C157" s="11">
        <v>2012</v>
      </c>
      <c r="D157" s="1">
        <v>16</v>
      </c>
      <c r="E157" s="1" t="s">
        <v>464</v>
      </c>
    </row>
    <row r="158" spans="1:5">
      <c r="A158" s="1">
        <v>14104</v>
      </c>
      <c r="B158" s="5">
        <v>8015607</v>
      </c>
      <c r="C158" s="11">
        <v>2013</v>
      </c>
      <c r="D158" s="1">
        <v>14</v>
      </c>
      <c r="E158" s="1" t="s">
        <v>464</v>
      </c>
    </row>
    <row r="159" spans="1:5">
      <c r="A159" s="1">
        <v>1886</v>
      </c>
      <c r="B159" s="5">
        <v>8016147</v>
      </c>
      <c r="C159" s="11">
        <v>2013</v>
      </c>
      <c r="D159" s="1">
        <v>18</v>
      </c>
      <c r="E159" s="1" t="s">
        <v>464</v>
      </c>
    </row>
    <row r="160" spans="1:5">
      <c r="A160" s="1">
        <v>1887</v>
      </c>
      <c r="B160" s="5">
        <v>8017121</v>
      </c>
      <c r="C160" s="11">
        <v>2015</v>
      </c>
      <c r="D160" s="1">
        <v>18</v>
      </c>
      <c r="E160" s="1" t="s">
        <v>464</v>
      </c>
    </row>
    <row r="161" spans="1:5">
      <c r="A161" s="1">
        <v>15134</v>
      </c>
      <c r="B161" s="5">
        <v>8010004</v>
      </c>
      <c r="C161" s="11">
        <v>2005</v>
      </c>
      <c r="D161" s="1">
        <v>15</v>
      </c>
      <c r="E161" s="1" t="s">
        <v>465</v>
      </c>
    </row>
    <row r="162" spans="1:5">
      <c r="A162" s="1">
        <v>1248</v>
      </c>
      <c r="B162" s="5">
        <v>8015965</v>
      </c>
      <c r="C162" s="11">
        <v>2013</v>
      </c>
      <c r="D162" s="1">
        <v>12</v>
      </c>
      <c r="E162" s="1" t="s">
        <v>464</v>
      </c>
    </row>
    <row r="163" spans="1:5">
      <c r="A163" s="1">
        <v>1950</v>
      </c>
      <c r="B163" s="5">
        <v>8017111</v>
      </c>
      <c r="C163" s="11">
        <v>2015</v>
      </c>
      <c r="D163" s="1">
        <v>19</v>
      </c>
      <c r="E163" s="1" t="s">
        <v>464</v>
      </c>
    </row>
    <row r="164" spans="1:5">
      <c r="A164" s="1">
        <v>14103</v>
      </c>
      <c r="B164" s="5">
        <v>8015915</v>
      </c>
      <c r="C164" s="11">
        <v>2013</v>
      </c>
      <c r="D164" s="1">
        <v>14</v>
      </c>
      <c r="E164" s="1" t="s">
        <v>464</v>
      </c>
    </row>
    <row r="165" spans="1:5">
      <c r="A165" s="1">
        <v>15140</v>
      </c>
      <c r="B165" s="5">
        <v>8005943</v>
      </c>
      <c r="C165" s="11">
        <v>2003</v>
      </c>
      <c r="D165" s="1">
        <v>15</v>
      </c>
      <c r="E165" s="1" t="s">
        <v>465</v>
      </c>
    </row>
    <row r="166" spans="1:5">
      <c r="A166" s="1">
        <v>1390</v>
      </c>
      <c r="B166" s="5">
        <v>8015279</v>
      </c>
      <c r="C166" s="11">
        <v>2012</v>
      </c>
      <c r="D166" s="1">
        <v>13</v>
      </c>
      <c r="E166" s="1" t="s">
        <v>464</v>
      </c>
    </row>
    <row r="167" spans="1:5">
      <c r="A167" s="1">
        <v>1885</v>
      </c>
      <c r="B167" s="5">
        <v>8010098</v>
      </c>
      <c r="C167" s="11">
        <v>2006</v>
      </c>
      <c r="D167" s="1">
        <v>18</v>
      </c>
      <c r="E167" s="1" t="s">
        <v>465</v>
      </c>
    </row>
    <row r="168" spans="1:5">
      <c r="A168" s="1">
        <v>1335</v>
      </c>
      <c r="B168" s="5">
        <v>8014545</v>
      </c>
      <c r="C168" s="11">
        <v>2011</v>
      </c>
      <c r="D168" s="1">
        <v>13</v>
      </c>
      <c r="E168" s="1" t="s">
        <v>464</v>
      </c>
    </row>
    <row r="169" spans="1:5">
      <c r="A169" s="1">
        <v>16111</v>
      </c>
      <c r="B169" s="5">
        <v>8016673</v>
      </c>
      <c r="C169" s="11">
        <v>2014</v>
      </c>
      <c r="D169" s="1">
        <v>16</v>
      </c>
      <c r="E169" s="1" t="s">
        <v>464</v>
      </c>
    </row>
    <row r="170" spans="1:5">
      <c r="A170" s="1">
        <v>16127</v>
      </c>
      <c r="B170" s="5">
        <v>8016666</v>
      </c>
      <c r="C170" s="11">
        <v>2014</v>
      </c>
      <c r="D170" s="1">
        <v>16</v>
      </c>
      <c r="E170" s="1" t="s">
        <v>464</v>
      </c>
    </row>
    <row r="171" spans="1:5">
      <c r="A171" s="1">
        <v>16115</v>
      </c>
      <c r="B171" s="5">
        <v>8016424</v>
      </c>
      <c r="C171" s="11">
        <v>2014</v>
      </c>
      <c r="D171" s="1">
        <v>16</v>
      </c>
      <c r="E171" s="1" t="s">
        <v>464</v>
      </c>
    </row>
    <row r="172" spans="1:5">
      <c r="A172" s="1">
        <v>17124</v>
      </c>
      <c r="B172" s="5">
        <v>8015488</v>
      </c>
      <c r="C172" s="11">
        <v>2012</v>
      </c>
      <c r="D172" s="1">
        <v>17</v>
      </c>
      <c r="E172" s="1" t="s">
        <v>464</v>
      </c>
    </row>
    <row r="173" spans="1:5">
      <c r="A173" s="1">
        <v>1391</v>
      </c>
      <c r="B173" s="5">
        <v>8016058</v>
      </c>
      <c r="C173" s="11">
        <v>2013</v>
      </c>
      <c r="D173" s="1">
        <v>13</v>
      </c>
      <c r="E173" s="1" t="s">
        <v>464</v>
      </c>
    </row>
    <row r="174" spans="1:5">
      <c r="A174" s="1">
        <v>17123</v>
      </c>
      <c r="B174" s="5">
        <v>8015966</v>
      </c>
      <c r="C174" s="11">
        <v>2013</v>
      </c>
      <c r="D174" s="1">
        <v>17</v>
      </c>
      <c r="E174" s="1" t="s">
        <v>464</v>
      </c>
    </row>
    <row r="175" spans="1:5">
      <c r="A175" s="1">
        <v>1262</v>
      </c>
      <c r="B175" s="5">
        <v>8018402</v>
      </c>
      <c r="C175" s="11">
        <v>2018</v>
      </c>
      <c r="D175" s="1">
        <v>12</v>
      </c>
      <c r="E175" s="1" t="s">
        <v>463</v>
      </c>
    </row>
    <row r="176" spans="1:5">
      <c r="A176" s="1">
        <v>15133</v>
      </c>
      <c r="B176" s="5">
        <v>8010005</v>
      </c>
      <c r="C176" s="11">
        <v>2005</v>
      </c>
      <c r="D176" s="1">
        <v>15</v>
      </c>
      <c r="E176" s="1" t="s">
        <v>465</v>
      </c>
    </row>
    <row r="177" spans="1:5">
      <c r="A177" s="1">
        <v>16126</v>
      </c>
      <c r="B177" s="5">
        <v>8016060</v>
      </c>
      <c r="C177" s="11">
        <v>2013</v>
      </c>
      <c r="D177" s="1">
        <v>16</v>
      </c>
      <c r="E177" s="1" t="s">
        <v>464</v>
      </c>
    </row>
    <row r="178" spans="1:5">
      <c r="A178" s="1">
        <v>1884</v>
      </c>
      <c r="B178" s="5">
        <v>8015734</v>
      </c>
      <c r="C178" s="11">
        <v>2013</v>
      </c>
      <c r="D178" s="1">
        <v>18</v>
      </c>
      <c r="E178" s="1" t="s">
        <v>464</v>
      </c>
    </row>
    <row r="179" spans="1:5">
      <c r="A179" s="1">
        <v>15137</v>
      </c>
      <c r="B179" s="5">
        <v>8007507</v>
      </c>
      <c r="C179" s="11">
        <v>2005</v>
      </c>
      <c r="D179" s="1">
        <v>15</v>
      </c>
      <c r="E179" s="1" t="s">
        <v>465</v>
      </c>
    </row>
    <row r="180" spans="1:5">
      <c r="A180" s="1">
        <v>2106</v>
      </c>
      <c r="B180" s="5">
        <v>8020937</v>
      </c>
      <c r="C180" s="11">
        <v>2022</v>
      </c>
      <c r="D180" s="1">
        <v>21</v>
      </c>
      <c r="E180" s="1" t="s">
        <v>463</v>
      </c>
    </row>
    <row r="181" spans="1:5">
      <c r="A181" s="1">
        <v>1258</v>
      </c>
      <c r="B181" s="5">
        <v>8018810</v>
      </c>
      <c r="C181" s="11">
        <v>2019</v>
      </c>
      <c r="D181" s="1">
        <v>12</v>
      </c>
      <c r="E181" s="1" t="s">
        <v>463</v>
      </c>
    </row>
    <row r="182" spans="1:5">
      <c r="A182" s="1" t="s">
        <v>472</v>
      </c>
      <c r="B182" s="5">
        <v>8021605</v>
      </c>
      <c r="C182" s="11">
        <v>2022</v>
      </c>
      <c r="D182" s="1">
        <v>20</v>
      </c>
      <c r="E182" s="1" t="s">
        <v>469</v>
      </c>
    </row>
    <row r="183" spans="1:5">
      <c r="A183" s="1" t="s">
        <v>473</v>
      </c>
      <c r="B183" s="5">
        <v>8018797</v>
      </c>
      <c r="C183" s="11">
        <v>2019</v>
      </c>
      <c r="D183" s="1">
        <v>18</v>
      </c>
      <c r="E183" s="1" t="s">
        <v>471</v>
      </c>
    </row>
    <row r="184" spans="1:5">
      <c r="A184" s="1">
        <v>1785</v>
      </c>
      <c r="B184" s="5">
        <v>8017250</v>
      </c>
      <c r="C184" s="11">
        <v>2015</v>
      </c>
      <c r="D184" s="1">
        <v>17</v>
      </c>
      <c r="E184" s="1" t="s">
        <v>463</v>
      </c>
    </row>
    <row r="185" spans="1:5">
      <c r="A185" s="1" t="s">
        <v>474</v>
      </c>
      <c r="B185" s="5">
        <v>8018726</v>
      </c>
      <c r="C185" s="11">
        <v>2018</v>
      </c>
      <c r="D185" s="1">
        <v>16</v>
      </c>
      <c r="E185" s="1" t="s">
        <v>471</v>
      </c>
    </row>
    <row r="186" spans="1:5">
      <c r="A186" s="1" t="s">
        <v>475</v>
      </c>
      <c r="B186" s="5">
        <v>8021604</v>
      </c>
      <c r="C186" s="11">
        <v>2022</v>
      </c>
      <c r="D186" s="1">
        <v>19</v>
      </c>
      <c r="E186" s="1" t="s">
        <v>469</v>
      </c>
    </row>
    <row r="187" spans="1:5">
      <c r="A187" s="1" t="s">
        <v>476</v>
      </c>
      <c r="B187" s="5">
        <v>8019089</v>
      </c>
      <c r="C187" s="11">
        <v>2019</v>
      </c>
      <c r="D187" s="1">
        <v>19</v>
      </c>
      <c r="E187" s="1" t="s">
        <v>471</v>
      </c>
    </row>
    <row r="188" spans="1:5">
      <c r="A188" s="1" t="s">
        <v>477</v>
      </c>
      <c r="B188" s="5">
        <v>8021564</v>
      </c>
      <c r="C188" s="11">
        <v>2022</v>
      </c>
      <c r="D188" s="1">
        <v>14</v>
      </c>
      <c r="E188" s="1" t="s">
        <v>469</v>
      </c>
    </row>
    <row r="189" spans="1:5">
      <c r="A189" s="1" t="s">
        <v>478</v>
      </c>
      <c r="B189" s="5">
        <v>8017706</v>
      </c>
      <c r="C189" s="11">
        <v>2016</v>
      </c>
      <c r="D189" s="1">
        <v>14</v>
      </c>
      <c r="E189" s="1" t="s">
        <v>471</v>
      </c>
    </row>
    <row r="190" spans="1:5">
      <c r="A190" s="1" t="s">
        <v>479</v>
      </c>
      <c r="B190" s="5">
        <v>8018198</v>
      </c>
      <c r="C190" s="11">
        <v>2017</v>
      </c>
      <c r="D190" s="1">
        <v>16</v>
      </c>
      <c r="E190" s="1" t="s">
        <v>471</v>
      </c>
    </row>
    <row r="191" spans="1:5">
      <c r="A191" s="1" t="s">
        <v>480</v>
      </c>
      <c r="B191" s="5">
        <v>8017180</v>
      </c>
      <c r="C191" s="11">
        <v>2015</v>
      </c>
      <c r="D191" s="1">
        <v>14</v>
      </c>
      <c r="E191" s="1" t="s">
        <v>471</v>
      </c>
    </row>
    <row r="192" spans="1:5">
      <c r="A192" s="1" t="s">
        <v>481</v>
      </c>
      <c r="B192" s="5">
        <v>8021568</v>
      </c>
      <c r="C192" s="11">
        <v>2022</v>
      </c>
      <c r="D192" s="1">
        <v>15</v>
      </c>
      <c r="E192" s="1" t="s">
        <v>469</v>
      </c>
    </row>
    <row r="193" spans="1:5">
      <c r="A193" s="1" t="s">
        <v>482</v>
      </c>
      <c r="B193" s="5">
        <v>8021566</v>
      </c>
      <c r="C193" s="11">
        <v>2022</v>
      </c>
      <c r="D193" s="1">
        <v>15</v>
      </c>
      <c r="E193" s="1" t="s">
        <v>469</v>
      </c>
    </row>
    <row r="194" spans="1:5">
      <c r="A194" s="1" t="s">
        <v>483</v>
      </c>
      <c r="B194" s="5">
        <v>8018199</v>
      </c>
      <c r="C194" s="11">
        <v>2017</v>
      </c>
      <c r="D194" s="1">
        <v>16</v>
      </c>
      <c r="E194" s="1" t="s">
        <v>471</v>
      </c>
    </row>
    <row r="195" spans="1:5">
      <c r="A195" s="1" t="s">
        <v>484</v>
      </c>
      <c r="B195" s="5">
        <v>8017659</v>
      </c>
      <c r="C195" s="11">
        <v>2016</v>
      </c>
      <c r="D195" s="1">
        <v>15</v>
      </c>
      <c r="E195" s="1" t="s">
        <v>471</v>
      </c>
    </row>
    <row r="196" spans="1:5">
      <c r="A196" s="1" t="s">
        <v>485</v>
      </c>
      <c r="B196" s="5">
        <v>8017827</v>
      </c>
      <c r="C196" s="11">
        <v>2016</v>
      </c>
      <c r="D196" s="1">
        <v>17</v>
      </c>
      <c r="E196" s="1" t="s">
        <v>471</v>
      </c>
    </row>
    <row r="197" spans="1:5">
      <c r="A197" s="1" t="s">
        <v>486</v>
      </c>
      <c r="B197" s="5">
        <v>8017826</v>
      </c>
      <c r="C197" s="11">
        <v>2016</v>
      </c>
      <c r="D197" s="1">
        <v>17</v>
      </c>
      <c r="E197" s="1" t="s">
        <v>471</v>
      </c>
    </row>
    <row r="198" spans="1:5">
      <c r="A198" s="1" t="s">
        <v>487</v>
      </c>
      <c r="B198" s="5">
        <v>8017100</v>
      </c>
      <c r="C198" s="11">
        <v>2015</v>
      </c>
      <c r="D198" s="1">
        <v>18</v>
      </c>
      <c r="E198" s="1" t="s">
        <v>471</v>
      </c>
    </row>
    <row r="199" spans="1:5">
      <c r="A199" s="1" t="s">
        <v>488</v>
      </c>
      <c r="B199" s="5">
        <v>8017837</v>
      </c>
      <c r="C199" s="11">
        <v>2016</v>
      </c>
      <c r="D199" s="1">
        <v>16</v>
      </c>
      <c r="E199" s="1" t="s">
        <v>471</v>
      </c>
    </row>
    <row r="200" spans="1:5">
      <c r="A200" s="1" t="s">
        <v>489</v>
      </c>
      <c r="B200" s="5">
        <v>8018232</v>
      </c>
      <c r="C200" s="11">
        <v>2017</v>
      </c>
      <c r="D200" s="1">
        <v>18</v>
      </c>
      <c r="E200" s="1" t="s">
        <v>471</v>
      </c>
    </row>
    <row r="201" spans="1:5">
      <c r="A201" s="1" t="s">
        <v>490</v>
      </c>
      <c r="B201" s="5">
        <v>8017877</v>
      </c>
      <c r="C201" s="11">
        <v>2016</v>
      </c>
      <c r="D201" s="1">
        <v>19</v>
      </c>
      <c r="E201" s="1" t="s">
        <v>471</v>
      </c>
    </row>
    <row r="202" spans="1:5">
      <c r="A202" s="1" t="s">
        <v>491</v>
      </c>
      <c r="B202" s="5">
        <v>8018821</v>
      </c>
      <c r="C202" s="11">
        <v>2019</v>
      </c>
      <c r="D202" s="1">
        <v>17</v>
      </c>
      <c r="E202" s="1" t="s">
        <v>471</v>
      </c>
    </row>
    <row r="203" spans="1:5">
      <c r="A203" s="1" t="s">
        <v>492</v>
      </c>
      <c r="B203" s="5">
        <v>8018799</v>
      </c>
      <c r="C203" s="11">
        <v>2019</v>
      </c>
      <c r="D203" s="1">
        <v>16</v>
      </c>
      <c r="E203" s="1" t="s">
        <v>471</v>
      </c>
    </row>
    <row r="204" spans="1:5">
      <c r="A204" s="1" t="s">
        <v>493</v>
      </c>
      <c r="B204" s="5">
        <v>8018673</v>
      </c>
      <c r="C204" s="11">
        <v>2018</v>
      </c>
      <c r="D204" s="1">
        <v>16</v>
      </c>
      <c r="E204" s="1" t="s">
        <v>471</v>
      </c>
    </row>
    <row r="205" spans="1:5">
      <c r="A205" s="1" t="s">
        <v>494</v>
      </c>
      <c r="B205" s="5">
        <v>8018742</v>
      </c>
      <c r="C205" s="11">
        <v>2018</v>
      </c>
      <c r="D205" s="1">
        <v>20</v>
      </c>
      <c r="E205" s="1" t="s">
        <v>471</v>
      </c>
    </row>
    <row r="206" spans="1:5">
      <c r="A206" s="1" t="s">
        <v>495</v>
      </c>
      <c r="B206" s="5">
        <v>8018732</v>
      </c>
      <c r="C206" s="11">
        <v>2018</v>
      </c>
      <c r="D206" s="1">
        <v>17</v>
      </c>
      <c r="E206" s="1" t="s">
        <v>471</v>
      </c>
    </row>
    <row r="207" spans="1:5">
      <c r="A207" s="1" t="s">
        <v>496</v>
      </c>
      <c r="B207" s="5">
        <v>8018647</v>
      </c>
      <c r="C207" s="11">
        <v>2018</v>
      </c>
      <c r="D207" s="1">
        <v>15</v>
      </c>
      <c r="E207" s="1" t="s">
        <v>471</v>
      </c>
    </row>
    <row r="208" spans="1:5">
      <c r="A208" s="1" t="s">
        <v>497</v>
      </c>
      <c r="B208" s="5">
        <v>8018737</v>
      </c>
      <c r="C208" s="11">
        <v>2018</v>
      </c>
      <c r="D208" s="1">
        <v>14</v>
      </c>
      <c r="E208" s="1" t="s">
        <v>471</v>
      </c>
    </row>
    <row r="209" spans="1:5">
      <c r="A209" s="1" t="s">
        <v>498</v>
      </c>
      <c r="B209" s="5">
        <v>8018240</v>
      </c>
      <c r="C209" s="11">
        <v>2017</v>
      </c>
      <c r="D209" s="1">
        <v>19</v>
      </c>
      <c r="E209" s="1" t="s">
        <v>471</v>
      </c>
    </row>
    <row r="210" spans="1:5">
      <c r="A210" s="1" t="s">
        <v>499</v>
      </c>
      <c r="B210" s="5">
        <v>8018736</v>
      </c>
      <c r="C210" s="11">
        <v>2018</v>
      </c>
      <c r="D210" s="1">
        <v>14</v>
      </c>
      <c r="E210" s="1" t="s">
        <v>471</v>
      </c>
    </row>
    <row r="211" spans="1:5">
      <c r="A211" s="1" t="s">
        <v>500</v>
      </c>
      <c r="B211" s="5">
        <v>8018236</v>
      </c>
      <c r="C211" s="11">
        <v>2017</v>
      </c>
      <c r="D211" s="1">
        <v>19</v>
      </c>
      <c r="E211" s="1" t="s">
        <v>471</v>
      </c>
    </row>
    <row r="212" spans="1:5">
      <c r="A212" s="1" t="s">
        <v>501</v>
      </c>
      <c r="B212" s="5">
        <v>80188798</v>
      </c>
      <c r="C212" s="11">
        <v>2019</v>
      </c>
      <c r="D212" s="1">
        <v>18</v>
      </c>
      <c r="E212" s="1" t="s">
        <v>471</v>
      </c>
    </row>
    <row r="213" spans="1:5">
      <c r="A213" s="1" t="s">
        <v>502</v>
      </c>
      <c r="B213" s="5">
        <v>8019070</v>
      </c>
      <c r="C213" s="11">
        <v>2019</v>
      </c>
      <c r="D213" s="1">
        <v>20</v>
      </c>
      <c r="E213" s="1" t="s">
        <v>471</v>
      </c>
    </row>
    <row r="214" spans="1:5">
      <c r="A214" s="1" t="s">
        <v>503</v>
      </c>
      <c r="B214" s="5">
        <v>8018674</v>
      </c>
      <c r="C214" s="11">
        <v>2018</v>
      </c>
      <c r="D214" s="1">
        <v>15</v>
      </c>
      <c r="E214" s="1" t="s">
        <v>471</v>
      </c>
    </row>
    <row r="215" spans="1:5">
      <c r="A215" s="1" t="s">
        <v>504</v>
      </c>
      <c r="B215" s="5">
        <v>8018249</v>
      </c>
      <c r="C215" s="11">
        <v>2017</v>
      </c>
      <c r="D215" s="1">
        <v>15</v>
      </c>
      <c r="E215" s="1" t="s">
        <v>471</v>
      </c>
    </row>
    <row r="216" spans="1:5">
      <c r="A216" s="1" t="s">
        <v>505</v>
      </c>
      <c r="B216" s="5">
        <v>8018739</v>
      </c>
      <c r="C216" s="11">
        <v>2018</v>
      </c>
      <c r="D216" s="1">
        <v>15</v>
      </c>
      <c r="E216" s="1" t="s">
        <v>471</v>
      </c>
    </row>
    <row r="217" spans="1:5">
      <c r="A217" s="1" t="s">
        <v>506</v>
      </c>
      <c r="B217" s="5">
        <v>8018731</v>
      </c>
      <c r="C217" s="11">
        <v>2018</v>
      </c>
      <c r="D217" s="1">
        <v>17</v>
      </c>
      <c r="E217" s="1" t="s">
        <v>471</v>
      </c>
    </row>
    <row r="218" spans="1:5">
      <c r="A218" s="1" t="s">
        <v>507</v>
      </c>
      <c r="B218" s="5">
        <v>8018241</v>
      </c>
      <c r="C218" s="11">
        <v>2017</v>
      </c>
      <c r="D218" s="1">
        <v>14</v>
      </c>
      <c r="E218" s="1" t="s">
        <v>471</v>
      </c>
    </row>
    <row r="219" spans="1:5">
      <c r="A219" s="1" t="s">
        <v>508</v>
      </c>
      <c r="B219" s="5">
        <v>8018238</v>
      </c>
      <c r="C219" s="11">
        <v>2017</v>
      </c>
      <c r="D219" s="1">
        <v>18</v>
      </c>
      <c r="E219" s="1" t="s">
        <v>471</v>
      </c>
    </row>
    <row r="220" spans="1:5">
      <c r="A220" s="1">
        <v>1381</v>
      </c>
      <c r="B220" s="5">
        <v>8019237</v>
      </c>
      <c r="C220" s="11">
        <v>2020</v>
      </c>
      <c r="D220" s="1">
        <v>13</v>
      </c>
      <c r="E220" s="1" t="s">
        <v>463</v>
      </c>
    </row>
    <row r="221" spans="1:5">
      <c r="A221" s="1">
        <v>1955</v>
      </c>
      <c r="B221" s="5">
        <v>8020970</v>
      </c>
      <c r="C221" s="11">
        <v>2022</v>
      </c>
      <c r="D221" s="1">
        <v>19</v>
      </c>
      <c r="E221" s="1" t="s">
        <v>463</v>
      </c>
    </row>
    <row r="222" spans="1:5">
      <c r="A222" s="1">
        <v>1783</v>
      </c>
      <c r="B222" s="5">
        <v>8017263</v>
      </c>
      <c r="C222" s="11">
        <v>2015</v>
      </c>
      <c r="D222" s="1">
        <v>17</v>
      </c>
      <c r="E222" s="1" t="s">
        <v>463</v>
      </c>
    </row>
    <row r="223" spans="1:5">
      <c r="A223" s="1">
        <v>1489</v>
      </c>
      <c r="B223" s="5">
        <v>8019240</v>
      </c>
      <c r="C223" s="11">
        <v>2020</v>
      </c>
      <c r="D223" s="1">
        <v>14</v>
      </c>
      <c r="E223" s="1" t="s">
        <v>463</v>
      </c>
    </row>
    <row r="224" spans="1:5">
      <c r="A224" s="1" t="s">
        <v>509</v>
      </c>
      <c r="B224" s="5">
        <v>8018727</v>
      </c>
      <c r="C224" s="11">
        <v>2018</v>
      </c>
      <c r="D224" s="1">
        <v>16</v>
      </c>
      <c r="E224" s="1" t="s">
        <v>471</v>
      </c>
    </row>
    <row r="225" spans="1:5">
      <c r="A225" s="1" t="s">
        <v>510</v>
      </c>
      <c r="B225" s="5">
        <v>8018219</v>
      </c>
      <c r="C225" s="11">
        <v>2019</v>
      </c>
      <c r="D225" s="1">
        <v>17</v>
      </c>
      <c r="E225" s="1" t="s">
        <v>471</v>
      </c>
    </row>
    <row r="226" spans="1:5">
      <c r="A226" s="1" t="s">
        <v>511</v>
      </c>
      <c r="B226" s="5">
        <v>8021565</v>
      </c>
      <c r="C226" s="11">
        <v>2022</v>
      </c>
      <c r="D226" s="1">
        <v>14</v>
      </c>
      <c r="E226" s="1" t="s">
        <v>469</v>
      </c>
    </row>
    <row r="227" spans="1:5">
      <c r="A227" s="1" t="s">
        <v>512</v>
      </c>
      <c r="B227" s="5">
        <v>8018646</v>
      </c>
      <c r="C227" s="11">
        <v>2018</v>
      </c>
      <c r="D227" s="1">
        <v>15</v>
      </c>
      <c r="E227" s="1" t="s">
        <v>471</v>
      </c>
    </row>
    <row r="228" spans="1:5">
      <c r="A228" s="1">
        <v>17115</v>
      </c>
      <c r="B228" s="5">
        <v>8006108</v>
      </c>
      <c r="C228" s="11">
        <v>2003</v>
      </c>
      <c r="D228" s="1">
        <v>17</v>
      </c>
      <c r="E228" s="1" t="s">
        <v>465</v>
      </c>
    </row>
    <row r="229" spans="1:5">
      <c r="A229" s="1">
        <v>2028</v>
      </c>
      <c r="B229" s="5">
        <v>8007813</v>
      </c>
      <c r="C229" s="11">
        <v>2006</v>
      </c>
      <c r="D229" s="1">
        <v>20</v>
      </c>
      <c r="E229" s="1" t="s">
        <v>465</v>
      </c>
    </row>
    <row r="230" spans="1:5">
      <c r="A230" s="1" t="s">
        <v>513</v>
      </c>
      <c r="B230" s="5">
        <v>8020835</v>
      </c>
      <c r="C230" s="11">
        <v>2022</v>
      </c>
      <c r="D230" s="1">
        <v>15</v>
      </c>
      <c r="E230" s="1" t="s">
        <v>463</v>
      </c>
    </row>
    <row r="231" spans="1:5">
      <c r="A231" s="1" t="s">
        <v>467</v>
      </c>
      <c r="B231" s="5">
        <v>8022683</v>
      </c>
      <c r="C231" s="11">
        <v>2024</v>
      </c>
      <c r="D231" s="1">
        <v>22</v>
      </c>
      <c r="E231" s="1" t="s">
        <v>463</v>
      </c>
    </row>
    <row r="232" spans="1:5">
      <c r="A232" s="1">
        <v>1493</v>
      </c>
      <c r="B232" s="5">
        <v>8017223</v>
      </c>
      <c r="C232" s="11">
        <v>2015</v>
      </c>
      <c r="D232" s="1">
        <v>14</v>
      </c>
      <c r="E232" s="1" t="s">
        <v>463</v>
      </c>
    </row>
    <row r="233" spans="1:5">
      <c r="A233" s="1">
        <v>1490</v>
      </c>
      <c r="B233" s="5">
        <v>8019245</v>
      </c>
      <c r="C233" s="11">
        <v>2020</v>
      </c>
      <c r="D233" s="1">
        <v>14</v>
      </c>
      <c r="E233" s="1" t="s">
        <v>463</v>
      </c>
    </row>
    <row r="234" spans="1:5">
      <c r="A234" s="1">
        <v>17102</v>
      </c>
      <c r="B234" s="5">
        <v>8006105</v>
      </c>
      <c r="C234" s="11">
        <v>2003</v>
      </c>
      <c r="D234" s="1">
        <v>17</v>
      </c>
      <c r="E234" s="1" t="s">
        <v>465</v>
      </c>
    </row>
    <row r="235" spans="1:5">
      <c r="A235" s="1">
        <v>1794</v>
      </c>
      <c r="B235" s="5">
        <v>8006183</v>
      </c>
      <c r="C235" s="11">
        <v>2003</v>
      </c>
      <c r="D235" s="1">
        <v>17</v>
      </c>
      <c r="E235" s="1" t="s">
        <v>465</v>
      </c>
    </row>
    <row r="236" spans="1:5">
      <c r="A236" s="1">
        <v>1342</v>
      </c>
      <c r="B236" s="5">
        <v>8015764</v>
      </c>
      <c r="C236" s="11">
        <v>2013</v>
      </c>
      <c r="D236" s="1">
        <v>13</v>
      </c>
      <c r="E236" s="1" t="s">
        <v>464</v>
      </c>
    </row>
    <row r="237" spans="1:5">
      <c r="A237" s="1" t="s">
        <v>514</v>
      </c>
      <c r="B237" s="5">
        <v>8015634</v>
      </c>
      <c r="C237" s="11">
        <v>2013</v>
      </c>
      <c r="D237" s="1">
        <v>18</v>
      </c>
      <c r="E237" s="1" t="s">
        <v>464</v>
      </c>
    </row>
    <row r="238" spans="1:5">
      <c r="A238" s="1">
        <v>15117</v>
      </c>
      <c r="B238" s="5">
        <v>8018415</v>
      </c>
      <c r="C238" s="11">
        <v>2010</v>
      </c>
      <c r="D238" s="1">
        <v>15</v>
      </c>
      <c r="E238" s="1" t="s">
        <v>463</v>
      </c>
    </row>
    <row r="239" spans="1:5">
      <c r="A239" s="1">
        <v>1896</v>
      </c>
      <c r="B239" s="5">
        <v>8020963</v>
      </c>
      <c r="C239" s="11">
        <v>2022</v>
      </c>
      <c r="D239" s="1">
        <v>18</v>
      </c>
      <c r="E239" s="1" t="s">
        <v>463</v>
      </c>
    </row>
    <row r="240" spans="1:5">
      <c r="A240" s="1">
        <v>1396</v>
      </c>
      <c r="B240" s="5">
        <v>8020818</v>
      </c>
      <c r="C240" s="11">
        <v>2022</v>
      </c>
      <c r="D240" s="1">
        <v>13</v>
      </c>
      <c r="E240" s="1" t="s">
        <v>463</v>
      </c>
    </row>
    <row r="241" spans="1:5">
      <c r="A241" s="1">
        <v>1471</v>
      </c>
      <c r="B241" s="5">
        <v>8019091</v>
      </c>
      <c r="C241" s="11">
        <v>2019</v>
      </c>
      <c r="D241" s="1">
        <v>14</v>
      </c>
      <c r="E241" s="1" t="s">
        <v>463</v>
      </c>
    </row>
    <row r="242" spans="1:5">
      <c r="A242" s="1">
        <v>1474</v>
      </c>
      <c r="B242" s="5">
        <v>8019110</v>
      </c>
      <c r="C242" s="11">
        <v>2019</v>
      </c>
      <c r="D242" s="1">
        <v>14</v>
      </c>
      <c r="E242" s="1" t="s">
        <v>463</v>
      </c>
    </row>
    <row r="243" spans="1:5">
      <c r="A243" s="1" t="s">
        <v>515</v>
      </c>
      <c r="B243" s="5">
        <v>8016492</v>
      </c>
      <c r="C243" s="11">
        <v>2014</v>
      </c>
      <c r="D243" s="1">
        <v>17</v>
      </c>
      <c r="E243" s="1" t="s">
        <v>471</v>
      </c>
    </row>
    <row r="244" spans="1:5">
      <c r="A244" s="1">
        <v>1868</v>
      </c>
      <c r="B244" s="5">
        <v>8018167</v>
      </c>
      <c r="C244" s="11">
        <v>2017</v>
      </c>
      <c r="D244" s="1">
        <v>18</v>
      </c>
      <c r="E244" s="1" t="s">
        <v>463</v>
      </c>
    </row>
    <row r="245" spans="1:5">
      <c r="A245" s="1">
        <v>1775</v>
      </c>
      <c r="B245" s="5">
        <v>8006180</v>
      </c>
      <c r="C245" s="11">
        <v>2003</v>
      </c>
      <c r="D245" s="1">
        <v>17</v>
      </c>
      <c r="E245" s="1" t="s">
        <v>465</v>
      </c>
    </row>
    <row r="246" spans="1:5">
      <c r="A246" s="1" t="s">
        <v>516</v>
      </c>
      <c r="B246" s="5">
        <v>8021254</v>
      </c>
      <c r="C246" s="11">
        <v>2022</v>
      </c>
      <c r="D246" s="1">
        <v>15</v>
      </c>
      <c r="E246" s="1" t="s">
        <v>469</v>
      </c>
    </row>
    <row r="247" spans="1:5">
      <c r="A247" s="1" t="s">
        <v>517</v>
      </c>
      <c r="B247" s="5">
        <v>8019087</v>
      </c>
      <c r="C247" s="11">
        <v>2019</v>
      </c>
      <c r="D247" s="1">
        <v>18</v>
      </c>
      <c r="E247" s="1" t="s">
        <v>471</v>
      </c>
    </row>
    <row r="248" spans="1:5">
      <c r="A248" s="1" t="s">
        <v>518</v>
      </c>
      <c r="B248" s="5">
        <v>8018738</v>
      </c>
      <c r="C248" s="11">
        <v>2018</v>
      </c>
      <c r="D248" s="1">
        <v>18</v>
      </c>
      <c r="E248" s="1" t="s">
        <v>471</v>
      </c>
    </row>
    <row r="249" spans="1:5">
      <c r="A249" s="1" t="s">
        <v>519</v>
      </c>
      <c r="B249" s="5">
        <v>8018010</v>
      </c>
      <c r="C249" s="11">
        <v>2017</v>
      </c>
      <c r="D249" s="1">
        <v>17</v>
      </c>
      <c r="E249" s="1" t="s">
        <v>471</v>
      </c>
    </row>
    <row r="250" spans="1:5">
      <c r="A250" s="1">
        <v>15136</v>
      </c>
      <c r="B250" s="5">
        <v>8006938</v>
      </c>
      <c r="C250" s="11">
        <v>2003</v>
      </c>
      <c r="D250" s="1">
        <v>15</v>
      </c>
      <c r="E250" s="1" t="s">
        <v>465</v>
      </c>
    </row>
    <row r="251" spans="1:5">
      <c r="A251" s="1" t="s">
        <v>520</v>
      </c>
      <c r="B251" s="5">
        <v>8019086</v>
      </c>
      <c r="C251" s="11">
        <v>2019</v>
      </c>
      <c r="D251" s="1">
        <v>18</v>
      </c>
      <c r="E251" s="1" t="s">
        <v>471</v>
      </c>
    </row>
    <row r="252" spans="1:5">
      <c r="A252" s="1" t="s">
        <v>521</v>
      </c>
      <c r="B252" s="5">
        <v>8017836</v>
      </c>
      <c r="C252" s="11">
        <v>2016</v>
      </c>
      <c r="D252" s="1">
        <v>18</v>
      </c>
      <c r="E252" s="1" t="s">
        <v>471</v>
      </c>
    </row>
    <row r="253" spans="1:5">
      <c r="A253" s="1">
        <v>1389</v>
      </c>
      <c r="B253" s="5">
        <v>8008484</v>
      </c>
      <c r="C253" s="11">
        <v>2004</v>
      </c>
      <c r="D253" s="1">
        <v>13</v>
      </c>
      <c r="E253" s="1" t="s">
        <v>465</v>
      </c>
    </row>
    <row r="254" spans="1:5">
      <c r="A254" s="1">
        <v>17131</v>
      </c>
      <c r="B254" s="5">
        <v>8020958</v>
      </c>
      <c r="C254" s="11">
        <v>2022</v>
      </c>
      <c r="D254" s="1">
        <v>17</v>
      </c>
      <c r="E254" s="1" t="s">
        <v>463</v>
      </c>
    </row>
    <row r="255" spans="1:5">
      <c r="A255" s="1" t="s">
        <v>522</v>
      </c>
      <c r="B255" s="5">
        <v>8016042</v>
      </c>
      <c r="C255" s="11">
        <v>2013</v>
      </c>
      <c r="D255" s="1">
        <v>16</v>
      </c>
      <c r="E255" s="1" t="s">
        <v>464</v>
      </c>
    </row>
    <row r="256" spans="1:5">
      <c r="A256" s="1">
        <v>1940</v>
      </c>
      <c r="B256" s="5">
        <v>8018464</v>
      </c>
      <c r="C256" s="11">
        <v>2018</v>
      </c>
      <c r="D256" s="1">
        <v>19</v>
      </c>
      <c r="E256" s="1" t="s">
        <v>463</v>
      </c>
    </row>
    <row r="257" spans="1:5">
      <c r="A257" s="1">
        <v>1467</v>
      </c>
      <c r="B257" s="5">
        <v>8019109</v>
      </c>
      <c r="C257" s="11">
        <v>2017</v>
      </c>
      <c r="D257" s="1">
        <v>14</v>
      </c>
      <c r="E257" s="1" t="s">
        <v>463</v>
      </c>
    </row>
    <row r="258" spans="1:5">
      <c r="A258" s="1">
        <v>1432</v>
      </c>
      <c r="B258" s="5" t="s">
        <v>416</v>
      </c>
      <c r="C258" s="11">
        <v>2006</v>
      </c>
      <c r="D258" s="1">
        <v>14</v>
      </c>
      <c r="E258" s="1" t="s">
        <v>465</v>
      </c>
    </row>
    <row r="259" spans="1:5">
      <c r="A259" s="1" t="s">
        <v>523</v>
      </c>
      <c r="B259" s="5">
        <v>8019013</v>
      </c>
      <c r="C259" s="11">
        <v>2019</v>
      </c>
      <c r="D259" s="1">
        <v>18</v>
      </c>
      <c r="E259" s="1" t="s">
        <v>463</v>
      </c>
    </row>
    <row r="260" spans="1:5">
      <c r="A260" s="1" t="s">
        <v>524</v>
      </c>
      <c r="B260" s="5">
        <v>8018740</v>
      </c>
      <c r="C260" s="11">
        <v>2018</v>
      </c>
      <c r="D260" s="1">
        <v>15</v>
      </c>
      <c r="E260" s="1" t="s">
        <v>471</v>
      </c>
    </row>
    <row r="261" spans="1:5">
      <c r="A261" s="1">
        <v>17120</v>
      </c>
      <c r="B261" s="5">
        <v>8010068</v>
      </c>
      <c r="C261" s="11">
        <v>2005</v>
      </c>
      <c r="D261" s="1">
        <v>17</v>
      </c>
      <c r="E261" s="1" t="s">
        <v>465</v>
      </c>
    </row>
    <row r="262" spans="1:5">
      <c r="A262" s="1">
        <v>2038</v>
      </c>
      <c r="B262" s="5">
        <v>8021547</v>
      </c>
      <c r="C262" s="11">
        <v>2022</v>
      </c>
      <c r="D262" s="1">
        <v>20</v>
      </c>
      <c r="E262" s="1" t="s">
        <v>463</v>
      </c>
    </row>
    <row r="263" spans="1:5">
      <c r="A263" s="1">
        <v>1476</v>
      </c>
      <c r="B263" s="5">
        <v>8017960</v>
      </c>
      <c r="C263" s="11">
        <v>2019</v>
      </c>
      <c r="D263" s="1">
        <v>14</v>
      </c>
      <c r="E263" s="1" t="s">
        <v>463</v>
      </c>
    </row>
    <row r="264" spans="1:5">
      <c r="A264" s="1">
        <v>1866</v>
      </c>
      <c r="B264" s="5">
        <v>8018397</v>
      </c>
      <c r="C264" s="11">
        <v>2010</v>
      </c>
      <c r="D264" s="1">
        <v>18</v>
      </c>
      <c r="E264" s="1" t="s">
        <v>463</v>
      </c>
    </row>
    <row r="265" spans="1:5">
      <c r="A265" s="1">
        <v>1965</v>
      </c>
      <c r="B265" s="5">
        <v>8021542</v>
      </c>
      <c r="C265" s="11">
        <v>2022</v>
      </c>
      <c r="D265" s="1">
        <v>19</v>
      </c>
      <c r="E265" s="1" t="s">
        <v>463</v>
      </c>
    </row>
    <row r="266" spans="1:5">
      <c r="A266" s="1">
        <v>15141</v>
      </c>
      <c r="B266" s="5">
        <v>8009101</v>
      </c>
      <c r="C266" s="11">
        <v>2005</v>
      </c>
      <c r="D266" s="1">
        <v>15</v>
      </c>
      <c r="E266" s="1" t="s">
        <v>465</v>
      </c>
    </row>
    <row r="267" spans="1:5">
      <c r="A267" s="1">
        <v>1535</v>
      </c>
      <c r="B267" s="5">
        <v>8009979</v>
      </c>
      <c r="C267" s="11">
        <v>2005</v>
      </c>
      <c r="D267" s="1">
        <v>15</v>
      </c>
      <c r="E267" s="1" t="s">
        <v>465</v>
      </c>
    </row>
    <row r="268" spans="1:5">
      <c r="A268" s="1">
        <v>17111</v>
      </c>
      <c r="B268" s="5">
        <v>8010052</v>
      </c>
      <c r="C268" s="11">
        <v>2005</v>
      </c>
      <c r="D268" s="1">
        <v>17</v>
      </c>
      <c r="E268" s="1" t="s">
        <v>465</v>
      </c>
    </row>
    <row r="269" spans="1:5">
      <c r="A269" s="1">
        <v>1874</v>
      </c>
      <c r="B269" s="5">
        <v>8010451</v>
      </c>
      <c r="C269" s="11">
        <v>2006</v>
      </c>
      <c r="D269" s="1">
        <v>18</v>
      </c>
      <c r="E269" s="1" t="s">
        <v>465</v>
      </c>
    </row>
    <row r="270" spans="1:5">
      <c r="A270" s="1">
        <v>14106</v>
      </c>
      <c r="B270" s="5">
        <v>8019113</v>
      </c>
      <c r="C270" s="11">
        <v>2019</v>
      </c>
      <c r="D270" s="1">
        <v>14</v>
      </c>
      <c r="E270" s="1" t="s">
        <v>463</v>
      </c>
    </row>
    <row r="271" spans="1:5">
      <c r="A271" s="1">
        <v>15139</v>
      </c>
      <c r="B271" s="5">
        <v>8009980</v>
      </c>
      <c r="C271" s="11">
        <v>2005</v>
      </c>
      <c r="D271" s="1">
        <v>15</v>
      </c>
      <c r="E271" s="1" t="s">
        <v>465</v>
      </c>
    </row>
    <row r="272" spans="1:5">
      <c r="A272" s="1">
        <v>1695</v>
      </c>
      <c r="B272" s="5">
        <v>8019251</v>
      </c>
      <c r="C272" s="11">
        <v>2020</v>
      </c>
      <c r="D272" s="1">
        <v>16</v>
      </c>
      <c r="E272" s="1" t="s">
        <v>463</v>
      </c>
    </row>
    <row r="273" spans="1:5">
      <c r="A273" s="1" t="s">
        <v>525</v>
      </c>
      <c r="B273" s="5">
        <v>8021567</v>
      </c>
      <c r="C273" s="11">
        <v>2022</v>
      </c>
      <c r="D273" s="1">
        <v>15</v>
      </c>
      <c r="E273" s="1" t="s">
        <v>469</v>
      </c>
    </row>
    <row r="274" spans="1:5">
      <c r="A274" s="1">
        <v>1706</v>
      </c>
      <c r="B274" s="5">
        <v>8010477</v>
      </c>
      <c r="C274" s="11">
        <v>2006</v>
      </c>
      <c r="D274" s="1">
        <v>17</v>
      </c>
      <c r="E274" s="1" t="s">
        <v>465</v>
      </c>
    </row>
    <row r="275" spans="1:5">
      <c r="A275" s="1">
        <v>1939</v>
      </c>
      <c r="B275" s="5">
        <v>8018156</v>
      </c>
      <c r="C275" s="11">
        <v>2017</v>
      </c>
      <c r="D275" s="1">
        <v>19</v>
      </c>
      <c r="E275" s="1" t="s">
        <v>463</v>
      </c>
    </row>
    <row r="276" spans="1:5">
      <c r="A276" s="1">
        <v>1473</v>
      </c>
      <c r="B276" s="5">
        <v>8018076</v>
      </c>
      <c r="C276" s="11">
        <v>2017</v>
      </c>
      <c r="D276" s="1">
        <v>14</v>
      </c>
      <c r="E276" s="1" t="s">
        <v>463</v>
      </c>
    </row>
    <row r="277" spans="1:5">
      <c r="A277" s="1" t="s">
        <v>526</v>
      </c>
      <c r="B277" s="5">
        <v>8018820</v>
      </c>
      <c r="C277" s="11">
        <v>2017</v>
      </c>
      <c r="D277" s="1">
        <v>17</v>
      </c>
      <c r="E277" s="1" t="s">
        <v>471</v>
      </c>
    </row>
    <row r="278" spans="1:5">
      <c r="A278" s="1" t="s">
        <v>527</v>
      </c>
      <c r="B278" s="5">
        <v>8003064</v>
      </c>
      <c r="C278" s="11">
        <v>2000</v>
      </c>
      <c r="D278" s="1">
        <v>13</v>
      </c>
      <c r="E278" s="1" t="s">
        <v>528</v>
      </c>
    </row>
    <row r="279" spans="1:5">
      <c r="A279" s="1" t="s">
        <v>529</v>
      </c>
      <c r="B279" s="5">
        <v>8017982</v>
      </c>
      <c r="C279" s="11">
        <v>2017</v>
      </c>
      <c r="D279" s="1">
        <v>15</v>
      </c>
      <c r="E279" s="1" t="s">
        <v>530</v>
      </c>
    </row>
    <row r="280" spans="1:5">
      <c r="A280" s="1" t="s">
        <v>531</v>
      </c>
      <c r="B280" s="5">
        <v>8017981</v>
      </c>
      <c r="C280" s="11">
        <v>2017</v>
      </c>
      <c r="D280" s="1">
        <v>14</v>
      </c>
      <c r="E280" s="10" t="s">
        <v>530</v>
      </c>
    </row>
    <row r="281" spans="1:5">
      <c r="A281" s="1">
        <v>1513</v>
      </c>
      <c r="B281" s="5">
        <v>8005186</v>
      </c>
      <c r="C281" s="11">
        <v>2002</v>
      </c>
      <c r="D281" s="1">
        <v>15</v>
      </c>
      <c r="E281" s="1" t="s">
        <v>465</v>
      </c>
    </row>
    <row r="282" spans="1:5">
      <c r="A282" s="1">
        <v>15132</v>
      </c>
      <c r="B282" s="5">
        <v>8007261</v>
      </c>
      <c r="C282" s="11">
        <v>2003</v>
      </c>
      <c r="D282" s="1">
        <v>15</v>
      </c>
      <c r="E282" s="1" t="s">
        <v>465</v>
      </c>
    </row>
    <row r="283" spans="1:5">
      <c r="A283" s="1">
        <v>1482</v>
      </c>
      <c r="B283" s="5">
        <v>8016709</v>
      </c>
      <c r="C283" s="11">
        <v>2014</v>
      </c>
      <c r="D283" s="1">
        <v>14</v>
      </c>
      <c r="E283" s="1" t="s">
        <v>464</v>
      </c>
    </row>
    <row r="284" spans="1:5">
      <c r="A284" s="1">
        <v>1483</v>
      </c>
      <c r="B284" s="5">
        <v>8011191</v>
      </c>
      <c r="C284" s="11">
        <v>2007</v>
      </c>
      <c r="D284" s="1">
        <v>14</v>
      </c>
      <c r="E284" s="1" t="s">
        <v>464</v>
      </c>
    </row>
    <row r="285" spans="1:5">
      <c r="A285" s="1">
        <v>1386</v>
      </c>
      <c r="B285" s="5">
        <v>8004818</v>
      </c>
      <c r="C285" s="11">
        <v>2002</v>
      </c>
      <c r="D285" s="1">
        <v>13</v>
      </c>
      <c r="E285" s="1" t="s">
        <v>465</v>
      </c>
    </row>
    <row r="286" spans="1:5">
      <c r="A286" s="1">
        <v>1873</v>
      </c>
      <c r="B286" s="5">
        <v>8015521</v>
      </c>
      <c r="C286" s="11">
        <v>2012</v>
      </c>
      <c r="D286" s="1">
        <v>18</v>
      </c>
      <c r="E286" s="1" t="s">
        <v>464</v>
      </c>
    </row>
    <row r="287" spans="1:5">
      <c r="A287" s="1">
        <v>2024</v>
      </c>
      <c r="B287" s="5">
        <v>8010450</v>
      </c>
      <c r="C287" s="11">
        <v>2006</v>
      </c>
      <c r="D287" s="1">
        <v>20</v>
      </c>
      <c r="E287" s="1" t="s">
        <v>465</v>
      </c>
    </row>
    <row r="288" spans="1:5">
      <c r="A288" s="1" t="s">
        <v>532</v>
      </c>
      <c r="B288" s="5">
        <v>8016516</v>
      </c>
      <c r="C288" s="11">
        <v>2014</v>
      </c>
      <c r="D288" s="1">
        <v>15</v>
      </c>
      <c r="E288" s="1" t="s">
        <v>533</v>
      </c>
    </row>
    <row r="289" spans="1:5">
      <c r="A289" s="1" t="s">
        <v>534</v>
      </c>
      <c r="B289" s="5">
        <v>8018718</v>
      </c>
      <c r="C289" s="11">
        <v>2018</v>
      </c>
      <c r="D289" s="1">
        <v>16</v>
      </c>
      <c r="E289" s="1" t="s">
        <v>471</v>
      </c>
    </row>
    <row r="290" spans="1:5">
      <c r="A290" s="1" t="s">
        <v>535</v>
      </c>
      <c r="B290" s="5">
        <v>8018644</v>
      </c>
      <c r="C290" s="11">
        <v>2018</v>
      </c>
      <c r="D290" s="1">
        <v>16</v>
      </c>
      <c r="E290" s="1" t="s">
        <v>471</v>
      </c>
    </row>
    <row r="291" spans="1:5">
      <c r="A291" s="1" t="s">
        <v>536</v>
      </c>
      <c r="B291" s="5">
        <v>8019073</v>
      </c>
      <c r="C291" s="11">
        <v>2019</v>
      </c>
      <c r="D291" s="1">
        <v>16</v>
      </c>
      <c r="E291" s="1" t="s">
        <v>471</v>
      </c>
    </row>
    <row r="292" spans="1:5">
      <c r="A292" s="1">
        <v>1494</v>
      </c>
      <c r="B292" s="5">
        <v>8004767</v>
      </c>
      <c r="C292" s="11">
        <v>2001</v>
      </c>
      <c r="D292" s="1">
        <v>14</v>
      </c>
      <c r="E292" s="1" t="s">
        <v>465</v>
      </c>
    </row>
    <row r="293" spans="1:5">
      <c r="A293" s="1">
        <v>15142</v>
      </c>
      <c r="B293" s="5">
        <v>8008496</v>
      </c>
      <c r="C293" s="11">
        <v>2004</v>
      </c>
      <c r="D293" s="1">
        <v>15</v>
      </c>
      <c r="E293" s="1" t="s">
        <v>465</v>
      </c>
    </row>
    <row r="294" spans="1:5">
      <c r="A294" s="1" t="s">
        <v>537</v>
      </c>
      <c r="B294" s="5">
        <v>8017991</v>
      </c>
      <c r="C294" s="11">
        <v>2017</v>
      </c>
      <c r="D294" s="1">
        <v>17</v>
      </c>
      <c r="E294" s="1" t="s">
        <v>533</v>
      </c>
    </row>
    <row r="295" spans="1:5">
      <c r="A295" s="1">
        <v>1385</v>
      </c>
      <c r="B295" s="5">
        <v>8009099</v>
      </c>
      <c r="C295" s="11">
        <v>2005</v>
      </c>
      <c r="D295" s="1">
        <v>13</v>
      </c>
      <c r="E295" s="1" t="s">
        <v>465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D062-32E9-4E0E-9F23-78AA8CB19BD4}">
  <dimension ref="A1:C46"/>
  <sheetViews>
    <sheetView workbookViewId="0">
      <selection activeCell="I10" sqref="I10"/>
    </sheetView>
  </sheetViews>
  <sheetFormatPr defaultRowHeight="15"/>
  <cols>
    <col min="1" max="1" width="9.85546875" bestFit="1" customWidth="1"/>
    <col min="2" max="2" width="11.42578125" bestFit="1" customWidth="1"/>
  </cols>
  <sheetData>
    <row r="1" spans="1:3">
      <c r="A1" s="4" t="s">
        <v>2</v>
      </c>
      <c r="B1" s="3" t="s">
        <v>3</v>
      </c>
      <c r="C1" s="6" t="s">
        <v>538</v>
      </c>
    </row>
    <row r="2" spans="1:3">
      <c r="A2" s="12" t="s">
        <v>464</v>
      </c>
      <c r="B2" s="2">
        <v>12</v>
      </c>
      <c r="C2" s="7">
        <v>4</v>
      </c>
    </row>
    <row r="3" spans="1:3">
      <c r="A3" s="12" t="s">
        <v>464</v>
      </c>
      <c r="B3" s="2">
        <v>13</v>
      </c>
      <c r="C3" s="7">
        <v>8</v>
      </c>
    </row>
    <row r="4" spans="1:3">
      <c r="A4" s="12" t="s">
        <v>464</v>
      </c>
      <c r="B4" s="2">
        <v>14</v>
      </c>
      <c r="C4" s="7">
        <v>6</v>
      </c>
    </row>
    <row r="5" spans="1:3">
      <c r="A5" s="12" t="s">
        <v>464</v>
      </c>
      <c r="B5" s="2">
        <v>15</v>
      </c>
      <c r="C5" s="7">
        <v>2</v>
      </c>
    </row>
    <row r="6" spans="1:3">
      <c r="A6" s="12" t="s">
        <v>464</v>
      </c>
      <c r="B6" s="2">
        <v>16</v>
      </c>
      <c r="C6" s="7">
        <v>9</v>
      </c>
    </row>
    <row r="7" spans="1:3">
      <c r="A7" s="12" t="s">
        <v>464</v>
      </c>
      <c r="B7" s="2">
        <v>17</v>
      </c>
      <c r="C7" s="7">
        <v>3</v>
      </c>
    </row>
    <row r="8" spans="1:3">
      <c r="A8" s="12" t="s">
        <v>464</v>
      </c>
      <c r="B8" s="2">
        <v>18</v>
      </c>
      <c r="C8" s="7">
        <v>7</v>
      </c>
    </row>
    <row r="9" spans="1:3">
      <c r="A9" s="12" t="s">
        <v>464</v>
      </c>
      <c r="B9" s="2">
        <v>19</v>
      </c>
      <c r="C9" s="7">
        <v>4</v>
      </c>
    </row>
    <row r="10" spans="1:3">
      <c r="A10" s="12" t="s">
        <v>464</v>
      </c>
      <c r="B10" s="2">
        <v>20</v>
      </c>
      <c r="C10" s="7">
        <v>2</v>
      </c>
    </row>
    <row r="11" spans="1:3">
      <c r="A11" s="12" t="s">
        <v>465</v>
      </c>
      <c r="B11" s="2">
        <v>13</v>
      </c>
      <c r="C11" s="7">
        <v>2</v>
      </c>
    </row>
    <row r="12" spans="1:3">
      <c r="A12" s="12" t="s">
        <v>465</v>
      </c>
      <c r="B12" s="2">
        <v>14</v>
      </c>
      <c r="C12" s="7">
        <v>2</v>
      </c>
    </row>
    <row r="13" spans="1:3">
      <c r="A13" s="12" t="s">
        <v>465</v>
      </c>
      <c r="B13" s="2">
        <v>15</v>
      </c>
      <c r="C13" s="7">
        <v>12</v>
      </c>
    </row>
    <row r="14" spans="1:3">
      <c r="A14" s="12" t="s">
        <v>465</v>
      </c>
      <c r="B14" s="2">
        <v>16</v>
      </c>
      <c r="C14" s="7">
        <v>2</v>
      </c>
    </row>
    <row r="15" spans="1:3">
      <c r="A15" s="12" t="s">
        <v>465</v>
      </c>
      <c r="B15" s="2">
        <v>17</v>
      </c>
      <c r="C15" s="7">
        <v>13</v>
      </c>
    </row>
    <row r="16" spans="1:3">
      <c r="A16" s="12" t="s">
        <v>465</v>
      </c>
      <c r="B16" s="2">
        <v>18</v>
      </c>
      <c r="C16" s="7">
        <v>2</v>
      </c>
    </row>
    <row r="17" spans="1:3">
      <c r="A17" s="12" t="s">
        <v>465</v>
      </c>
      <c r="B17" s="2">
        <v>20</v>
      </c>
      <c r="C17" s="7">
        <v>2</v>
      </c>
    </row>
    <row r="18" spans="1:3">
      <c r="A18" s="12" t="s">
        <v>471</v>
      </c>
      <c r="B18" s="2">
        <v>14</v>
      </c>
      <c r="C18" s="7">
        <v>5</v>
      </c>
    </row>
    <row r="19" spans="1:3">
      <c r="A19" s="12" t="s">
        <v>471</v>
      </c>
      <c r="B19" s="2">
        <v>15</v>
      </c>
      <c r="C19" s="7">
        <v>7</v>
      </c>
    </row>
    <row r="20" spans="1:3">
      <c r="A20" s="12" t="s">
        <v>471</v>
      </c>
      <c r="B20" s="2">
        <v>16</v>
      </c>
      <c r="C20" s="7">
        <v>11</v>
      </c>
    </row>
    <row r="21" spans="1:3">
      <c r="A21" s="12" t="s">
        <v>471</v>
      </c>
      <c r="B21" s="2">
        <v>17</v>
      </c>
      <c r="C21" s="7">
        <v>9</v>
      </c>
    </row>
    <row r="22" spans="1:3">
      <c r="A22" s="12" t="s">
        <v>471</v>
      </c>
      <c r="B22" s="2">
        <v>18</v>
      </c>
      <c r="C22" s="7">
        <v>9</v>
      </c>
    </row>
    <row r="23" spans="1:3">
      <c r="A23" s="12" t="s">
        <v>471</v>
      </c>
      <c r="B23" s="2">
        <v>19</v>
      </c>
      <c r="C23" s="7">
        <v>4</v>
      </c>
    </row>
    <row r="24" spans="1:3">
      <c r="A24" s="12" t="s">
        <v>471</v>
      </c>
      <c r="B24" s="2">
        <v>20</v>
      </c>
      <c r="C24" s="7">
        <v>2</v>
      </c>
    </row>
    <row r="25" spans="1:3">
      <c r="A25" s="12" t="s">
        <v>463</v>
      </c>
      <c r="B25" s="2">
        <v>11</v>
      </c>
      <c r="C25" s="7">
        <v>3</v>
      </c>
    </row>
    <row r="26" spans="1:3">
      <c r="A26" s="12" t="s">
        <v>463</v>
      </c>
      <c r="B26" s="2">
        <v>12</v>
      </c>
      <c r="C26" s="7">
        <v>9</v>
      </c>
    </row>
    <row r="27" spans="1:3">
      <c r="A27" s="12" t="s">
        <v>463</v>
      </c>
      <c r="B27" s="2">
        <v>13</v>
      </c>
      <c r="C27" s="7">
        <v>13</v>
      </c>
    </row>
    <row r="28" spans="1:3">
      <c r="A28" s="12" t="s">
        <v>463</v>
      </c>
      <c r="B28" s="2">
        <v>14</v>
      </c>
      <c r="C28" s="7">
        <v>19</v>
      </c>
    </row>
    <row r="29" spans="1:3">
      <c r="A29" s="12" t="s">
        <v>463</v>
      </c>
      <c r="B29" s="2">
        <v>15</v>
      </c>
      <c r="C29" s="7">
        <v>15</v>
      </c>
    </row>
    <row r="30" spans="1:3">
      <c r="A30" s="12" t="s">
        <v>463</v>
      </c>
      <c r="B30" s="2">
        <v>16</v>
      </c>
      <c r="C30" s="7">
        <v>19</v>
      </c>
    </row>
    <row r="31" spans="1:3">
      <c r="A31" s="12" t="s">
        <v>463</v>
      </c>
      <c r="B31" s="2">
        <v>17</v>
      </c>
      <c r="C31" s="7">
        <v>23</v>
      </c>
    </row>
    <row r="32" spans="1:3">
      <c r="A32" s="12" t="s">
        <v>463</v>
      </c>
      <c r="B32" s="2">
        <v>18</v>
      </c>
      <c r="C32" s="7">
        <v>21</v>
      </c>
    </row>
    <row r="33" spans="1:3">
      <c r="A33" s="12" t="s">
        <v>463</v>
      </c>
      <c r="B33" s="2">
        <v>19</v>
      </c>
      <c r="C33" s="7">
        <v>15</v>
      </c>
    </row>
    <row r="34" spans="1:3">
      <c r="A34" s="12" t="s">
        <v>463</v>
      </c>
      <c r="B34" s="2">
        <v>20</v>
      </c>
      <c r="C34" s="7">
        <v>10</v>
      </c>
    </row>
    <row r="35" spans="1:3">
      <c r="A35" s="12" t="s">
        <v>463</v>
      </c>
      <c r="B35" s="2">
        <v>21</v>
      </c>
      <c r="C35" s="7">
        <v>4</v>
      </c>
    </row>
    <row r="36" spans="1:3">
      <c r="A36" s="12" t="s">
        <v>463</v>
      </c>
      <c r="B36" s="2">
        <v>22</v>
      </c>
      <c r="C36" s="7">
        <v>2</v>
      </c>
    </row>
    <row r="37" spans="1:3">
      <c r="A37" s="12" t="s">
        <v>469</v>
      </c>
      <c r="B37" s="2">
        <v>14</v>
      </c>
      <c r="C37" s="7">
        <v>2</v>
      </c>
    </row>
    <row r="38" spans="1:3">
      <c r="A38" s="12" t="s">
        <v>469</v>
      </c>
      <c r="B38" s="2">
        <v>15</v>
      </c>
      <c r="C38" s="7">
        <v>4</v>
      </c>
    </row>
    <row r="39" spans="1:3">
      <c r="A39" s="12" t="s">
        <v>469</v>
      </c>
      <c r="B39" s="2">
        <v>19</v>
      </c>
      <c r="C39" s="7">
        <v>1</v>
      </c>
    </row>
    <row r="40" spans="1:3">
      <c r="A40" s="12" t="s">
        <v>469</v>
      </c>
      <c r="B40" s="2">
        <v>20</v>
      </c>
      <c r="C40" s="7">
        <v>1</v>
      </c>
    </row>
    <row r="41" spans="1:3">
      <c r="A41" s="12" t="s">
        <v>469</v>
      </c>
      <c r="B41" s="2">
        <v>21</v>
      </c>
      <c r="C41" s="7">
        <v>1</v>
      </c>
    </row>
    <row r="42" spans="1:3">
      <c r="A42" s="12" t="s">
        <v>539</v>
      </c>
      <c r="B42" s="2">
        <v>15</v>
      </c>
      <c r="C42" s="7">
        <v>1</v>
      </c>
    </row>
    <row r="43" spans="1:3">
      <c r="A43" s="12" t="s">
        <v>539</v>
      </c>
      <c r="B43" s="2">
        <v>17</v>
      </c>
      <c r="C43" s="7">
        <v>1</v>
      </c>
    </row>
    <row r="44" spans="1:3">
      <c r="A44" s="12" t="s">
        <v>540</v>
      </c>
      <c r="B44" s="2">
        <v>14</v>
      </c>
      <c r="C44" s="7">
        <v>1</v>
      </c>
    </row>
    <row r="45" spans="1:3">
      <c r="A45" s="12" t="s">
        <v>540</v>
      </c>
      <c r="B45" s="2">
        <v>15</v>
      </c>
      <c r="C45" s="7">
        <v>1</v>
      </c>
    </row>
    <row r="46" spans="1:3">
      <c r="A46" s="13" t="s">
        <v>528</v>
      </c>
      <c r="B46" s="9">
        <v>13</v>
      </c>
      <c r="C46" s="8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CA17-F493-41F7-B4ED-90E34E9C7CC0}">
  <dimension ref="A1:G30"/>
  <sheetViews>
    <sheetView workbookViewId="0">
      <selection activeCell="D28" sqref="D28"/>
    </sheetView>
  </sheetViews>
  <sheetFormatPr defaultRowHeight="15"/>
  <cols>
    <col min="1" max="1" width="22.5703125" customWidth="1"/>
    <col min="2" max="2" width="25.85546875" customWidth="1"/>
    <col min="3" max="3" width="25.140625" customWidth="1"/>
    <col min="4" max="4" width="18.28515625" customWidth="1"/>
    <col min="6" max="6" width="10.42578125" bestFit="1" customWidth="1"/>
    <col min="7" max="7" width="25.7109375" bestFit="1" customWidth="1"/>
  </cols>
  <sheetData>
    <row r="1" spans="1:7">
      <c r="A1" s="186" t="s">
        <v>541</v>
      </c>
      <c r="B1" s="186"/>
      <c r="C1" s="186"/>
      <c r="D1" s="41"/>
    </row>
    <row r="2" spans="1:7">
      <c r="E2" s="42" t="s">
        <v>7</v>
      </c>
      <c r="F2" s="43"/>
      <c r="G2" s="37" t="s">
        <v>542</v>
      </c>
    </row>
    <row r="3" spans="1:7">
      <c r="A3" s="38" t="s">
        <v>543</v>
      </c>
      <c r="B3" s="35">
        <v>17</v>
      </c>
      <c r="E3" s="42" t="s">
        <v>4</v>
      </c>
      <c r="F3" s="45"/>
      <c r="G3" s="37" t="s">
        <v>544</v>
      </c>
    </row>
    <row r="4" spans="1:7">
      <c r="A4" s="38">
        <v>1</v>
      </c>
      <c r="B4" s="35">
        <v>18</v>
      </c>
      <c r="E4" s="42" t="s">
        <v>8</v>
      </c>
      <c r="F4" s="46"/>
      <c r="G4" s="37" t="s">
        <v>545</v>
      </c>
    </row>
    <row r="5" spans="1:7">
      <c r="A5" s="38">
        <v>2</v>
      </c>
      <c r="B5" s="35">
        <v>19</v>
      </c>
      <c r="E5" s="42" t="s">
        <v>10</v>
      </c>
      <c r="F5" s="47"/>
      <c r="G5" s="37" t="s">
        <v>546</v>
      </c>
    </row>
    <row r="6" spans="1:7">
      <c r="A6" s="38">
        <v>3</v>
      </c>
      <c r="B6" s="35">
        <v>20</v>
      </c>
      <c r="E6" s="42" t="s">
        <v>9</v>
      </c>
      <c r="F6" s="44"/>
      <c r="G6" s="37" t="s">
        <v>547</v>
      </c>
    </row>
    <row r="7" spans="1:7">
      <c r="A7" s="38">
        <v>4</v>
      </c>
      <c r="B7" s="35">
        <v>21</v>
      </c>
      <c r="E7" s="42" t="s">
        <v>548</v>
      </c>
      <c r="F7" s="48"/>
      <c r="G7" s="37" t="s">
        <v>549</v>
      </c>
    </row>
    <row r="8" spans="1:7">
      <c r="A8" s="38">
        <v>5</v>
      </c>
      <c r="B8" s="35">
        <v>22</v>
      </c>
      <c r="E8" s="42" t="s">
        <v>28</v>
      </c>
      <c r="F8" s="49"/>
      <c r="G8" s="37" t="s">
        <v>550</v>
      </c>
    </row>
    <row r="9" spans="1:7">
      <c r="A9" s="39">
        <v>6</v>
      </c>
      <c r="B9" s="35">
        <v>23</v>
      </c>
      <c r="E9" s="42" t="s">
        <v>29</v>
      </c>
      <c r="F9" s="50"/>
      <c r="G9" s="37" t="s">
        <v>551</v>
      </c>
    </row>
    <row r="10" spans="1:7">
      <c r="A10" s="35">
        <v>7</v>
      </c>
    </row>
    <row r="11" spans="1:7">
      <c r="A11" s="40">
        <v>8</v>
      </c>
      <c r="B11" s="33" t="s">
        <v>552</v>
      </c>
      <c r="C11" s="36" t="s">
        <v>553</v>
      </c>
    </row>
    <row r="12" spans="1:7">
      <c r="A12" s="35">
        <v>9</v>
      </c>
      <c r="B12" s="34"/>
      <c r="C12" s="34"/>
    </row>
    <row r="13" spans="1:7">
      <c r="A13" s="35">
        <v>10</v>
      </c>
      <c r="B13" s="36" t="s">
        <v>24</v>
      </c>
      <c r="C13" s="34"/>
    </row>
    <row r="14" spans="1:7">
      <c r="A14" s="35">
        <v>11</v>
      </c>
    </row>
    <row r="15" spans="1:7">
      <c r="A15" s="35">
        <v>12</v>
      </c>
    </row>
    <row r="16" spans="1:7">
      <c r="A16" s="35">
        <v>13</v>
      </c>
    </row>
    <row r="17" spans="1:2">
      <c r="A17" s="35">
        <v>14</v>
      </c>
    </row>
    <row r="18" spans="1:2">
      <c r="A18" s="35">
        <v>15</v>
      </c>
    </row>
    <row r="19" spans="1:2">
      <c r="A19" s="35">
        <v>16</v>
      </c>
    </row>
    <row r="21" spans="1:2">
      <c r="A21" s="185" t="s">
        <v>554</v>
      </c>
      <c r="B21" s="185"/>
    </row>
    <row r="22" spans="1:2">
      <c r="A22" s="22" t="s">
        <v>555</v>
      </c>
      <c r="B22" s="32" t="s">
        <v>556</v>
      </c>
    </row>
    <row r="24" spans="1:2">
      <c r="A24" s="187" t="s">
        <v>557</v>
      </c>
      <c r="B24" s="187"/>
    </row>
    <row r="25" spans="1:2">
      <c r="A25" s="183" t="s">
        <v>558</v>
      </c>
      <c r="B25" s="183"/>
    </row>
    <row r="26" spans="1:2">
      <c r="A26" s="1" t="s">
        <v>529</v>
      </c>
      <c r="B26" s="59">
        <v>8017982</v>
      </c>
    </row>
    <row r="27" spans="1:2">
      <c r="A27" s="1" t="s">
        <v>234</v>
      </c>
      <c r="B27" s="59">
        <v>8018413</v>
      </c>
    </row>
    <row r="28" spans="1:2">
      <c r="A28" s="184" t="s">
        <v>559</v>
      </c>
      <c r="B28" s="184"/>
    </row>
    <row r="29" spans="1:2">
      <c r="A29" s="1" t="s">
        <v>529</v>
      </c>
      <c r="B29" s="59">
        <v>8018413</v>
      </c>
    </row>
    <row r="30" spans="1:2">
      <c r="A30" s="1" t="s">
        <v>234</v>
      </c>
      <c r="B30" s="59">
        <v>8017982</v>
      </c>
    </row>
  </sheetData>
  <mergeCells count="5">
    <mergeCell ref="A25:B25"/>
    <mergeCell ref="A28:B28"/>
    <mergeCell ref="A21:B21"/>
    <mergeCell ref="A1:C1"/>
    <mergeCell ref="A24:B24"/>
  </mergeCells>
  <hyperlinks>
    <hyperlink ref="B22" r:id="rId1" xr:uid="{044E19A0-34FC-4A32-94B6-18983EB5707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522aca-d509-4dd9-beac-20b0e100dc08" xsi:nil="true"/>
    <_Flow_SignoffStatus xmlns="5a5dad7d-9fc8-46ee-9258-c60cb781b407" xsi:nil="true"/>
    <lcf76f155ced4ddcb4097134ff3c332f xmlns="5a5dad7d-9fc8-46ee-9258-c60cb781b40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1A7012448947449046187B48CAD150" ma:contentTypeVersion="18" ma:contentTypeDescription="Create a new document." ma:contentTypeScope="" ma:versionID="8045647fc7f6113d992da816ec495671">
  <xsd:schema xmlns:xsd="http://www.w3.org/2001/XMLSchema" xmlns:xs="http://www.w3.org/2001/XMLSchema" xmlns:p="http://schemas.microsoft.com/office/2006/metadata/properties" xmlns:ns2="5a5dad7d-9fc8-46ee-9258-c60cb781b407" xmlns:ns3="0fa98644-e383-40be-859c-f04029e08677" xmlns:ns4="eb522aca-d509-4dd9-beac-20b0e100dc08" targetNamespace="http://schemas.microsoft.com/office/2006/metadata/properties" ma:root="true" ma:fieldsID="3a414750d734caf16b47be62d369632c" ns2:_="" ns3:_="" ns4:_="">
    <xsd:import namespace="5a5dad7d-9fc8-46ee-9258-c60cb781b407"/>
    <xsd:import namespace="0fa98644-e383-40be-859c-f04029e08677"/>
    <xsd:import namespace="eb522aca-d509-4dd9-beac-20b0e100d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dad7d-9fc8-46ee-9258-c60cb781b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fe3f656-71fd-4ea0-8a05-03ed510fe9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8644-e383-40be-859c-f04029e086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22aca-d509-4dd9-beac-20b0e100dc0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635c825-af57-4bf2-8185-37f9bb12e713}" ma:internalName="TaxCatchAll" ma:showField="CatchAllData" ma:web="eb522aca-d509-4dd9-beac-20b0e100d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1146FD-9602-4E5C-8D48-B815B29A2041}"/>
</file>

<file path=customXml/itemProps2.xml><?xml version="1.0" encoding="utf-8"?>
<ds:datastoreItem xmlns:ds="http://schemas.openxmlformats.org/officeDocument/2006/customXml" ds:itemID="{B13B8FEB-020B-49A5-A376-7B24A1DBD502}"/>
</file>

<file path=customXml/itemProps3.xml><?xml version="1.0" encoding="utf-8"?>
<ds:datastoreItem xmlns:ds="http://schemas.openxmlformats.org/officeDocument/2006/customXml" ds:itemID="{CA5236D2-3799-4343-B86D-6CB5331D39AA}"/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2025-04-10T06:53:01Z</dcterms:created>
  <dcterms:modified xsi:type="dcterms:W3CDTF">2025-11-10T09:36:48Z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0x0101000A1A7012448947449046187B48CAD150</vt:lpwstr>
  </property>
  <property fmtid="{D5CDD505-2E9C-101B-9397-08002B2CF9AE}" pid="3" name="MediaServiceImageTags">
    <vt:lpwstr/>
  </property>
</Properties>
</file>